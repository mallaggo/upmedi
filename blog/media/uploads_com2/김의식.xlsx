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ster\Desktop\김의식\"/>
    </mc:Choice>
  </mc:AlternateContent>
  <xr:revisionPtr revIDLastSave="0" documentId="8_{C74A8850-4D27-45F0-95E7-CE7A055C15F9}" xr6:coauthVersionLast="47" xr6:coauthVersionMax="47" xr10:uidLastSave="{00000000-0000-0000-0000-000000000000}"/>
  <bookViews>
    <workbookView xWindow="-120" yWindow="-120" windowWidth="29040" windowHeight="15840" xr2:uid="{64E0D0E5-53DA-4226-826C-F6118811EBA1}"/>
  </bookViews>
  <sheets>
    <sheet name="제1작업" sheetId="1" r:id="rId1"/>
    <sheet name="결재란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J14" i="1"/>
  <c r="J13" i="1"/>
  <c r="E14" i="1" l="1"/>
  <c r="I6" i="1" l="1"/>
  <c r="I7" i="1"/>
  <c r="I8" i="1"/>
  <c r="I9" i="1"/>
  <c r="I10" i="1"/>
  <c r="I11" i="1"/>
  <c r="I12" i="1"/>
  <c r="I5" i="1"/>
</calcChain>
</file>

<file path=xl/sharedStrings.xml><?xml version="1.0" encoding="utf-8"?>
<sst xmlns="http://schemas.openxmlformats.org/spreadsheetml/2006/main" count="51" uniqueCount="40">
  <si>
    <t>관리코드</t>
    <phoneticPr fontId="1" type="noConversion"/>
  </si>
  <si>
    <t>C8641</t>
    <phoneticPr fontId="1" type="noConversion"/>
  </si>
  <si>
    <t>V8639</t>
    <phoneticPr fontId="1" type="noConversion"/>
  </si>
  <si>
    <t>K4498</t>
    <phoneticPr fontId="1" type="noConversion"/>
  </si>
  <si>
    <t>C8664</t>
    <phoneticPr fontId="1" type="noConversion"/>
  </si>
  <si>
    <t>U0114</t>
    <phoneticPr fontId="1" type="noConversion"/>
  </si>
  <si>
    <t>J4491</t>
    <phoneticPr fontId="1" type="noConversion"/>
  </si>
  <si>
    <t>U0103</t>
    <phoneticPr fontId="1" type="noConversion"/>
  </si>
  <si>
    <t>주요 관리 품종 개수</t>
    <phoneticPr fontId="1" type="noConversion"/>
  </si>
  <si>
    <t>포유류 수입 두수 합계</t>
    <phoneticPr fontId="1" type="noConversion"/>
  </si>
  <si>
    <t>품명</t>
    <phoneticPr fontId="1" type="noConversion"/>
  </si>
  <si>
    <t>개</t>
    <phoneticPr fontId="1" type="noConversion"/>
  </si>
  <si>
    <t>기니아피그</t>
    <phoneticPr fontId="1" type="noConversion"/>
  </si>
  <si>
    <t>앵무새</t>
    <phoneticPr fontId="1" type="noConversion"/>
  </si>
  <si>
    <t>고양이</t>
    <phoneticPr fontId="1" type="noConversion"/>
  </si>
  <si>
    <t>원숭이</t>
    <phoneticPr fontId="1" type="noConversion"/>
  </si>
  <si>
    <t>프레리독</t>
    <phoneticPr fontId="1" type="noConversion"/>
  </si>
  <si>
    <t>조류기타</t>
    <phoneticPr fontId="1" type="noConversion"/>
  </si>
  <si>
    <t>렛트</t>
    <phoneticPr fontId="1" type="noConversion"/>
  </si>
  <si>
    <t>품목</t>
    <phoneticPr fontId="1" type="noConversion"/>
  </si>
  <si>
    <t>포유류</t>
    <phoneticPr fontId="1" type="noConversion"/>
  </si>
  <si>
    <t>기타동물</t>
    <phoneticPr fontId="1" type="noConversion"/>
  </si>
  <si>
    <t>조류</t>
    <phoneticPr fontId="1" type="noConversion"/>
  </si>
  <si>
    <t>두수(마리/군)</t>
    <phoneticPr fontId="1" type="noConversion"/>
  </si>
  <si>
    <t>수입국가</t>
    <phoneticPr fontId="1" type="noConversion"/>
  </si>
  <si>
    <t>미국</t>
    <phoneticPr fontId="1" type="noConversion"/>
  </si>
  <si>
    <t>일본</t>
    <phoneticPr fontId="1" type="noConversion"/>
  </si>
  <si>
    <t>스페인</t>
    <phoneticPr fontId="1" type="noConversion"/>
  </si>
  <si>
    <t>중국</t>
    <phoneticPr fontId="1" type="noConversion"/>
  </si>
  <si>
    <t>최근
검사월</t>
    <phoneticPr fontId="1" type="noConversion"/>
  </si>
  <si>
    <t>2차 검사일</t>
    <phoneticPr fontId="1" type="noConversion"/>
  </si>
  <si>
    <t>비고</t>
    <phoneticPr fontId="1" type="noConversion"/>
  </si>
  <si>
    <t>최고 전년대비 증감률</t>
    <phoneticPr fontId="1" type="noConversion"/>
  </si>
  <si>
    <t>U0178</t>
    <phoneticPr fontId="1" type="noConversion"/>
  </si>
  <si>
    <t>전년대비 증감률</t>
    <phoneticPr fontId="1" type="noConversion"/>
  </si>
  <si>
    <t>결재</t>
    <phoneticPr fontId="1" type="noConversion"/>
  </si>
  <si>
    <t>담당</t>
    <phoneticPr fontId="1" type="noConversion"/>
  </si>
  <si>
    <t>팀장</t>
    <phoneticPr fontId="1" type="noConversion"/>
  </si>
  <si>
    <t>원장</t>
    <phoneticPr fontId="1" type="noConversion"/>
  </si>
  <si>
    <t>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</si>
</sst>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>
      <alignment vertical="center"/>
    </xf>
    <xf numFmtId="3" fontId="2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shrinkToFi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</cellXfs>
  <cellStyles count="1">
    <cellStyle name="표준" xfId="0" builtinId="0"/>
  </cellStyles>
  <dxfs count="1"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0</xdr:row>
      <xdr:rowOff>71438</xdr:rowOff>
    </xdr:from>
    <xdr:to>
      <xdr:col>7</xdr:col>
      <xdr:colOff>303609</xdr:colOff>
      <xdr:row>2</xdr:row>
      <xdr:rowOff>279797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C66357EC-A40F-4868-492E-A18CC5E48DE3}"/>
            </a:ext>
          </a:extLst>
        </xdr:cNvPr>
        <xdr:cNvSpPr/>
      </xdr:nvSpPr>
      <xdr:spPr>
        <a:xfrm>
          <a:off x="232172" y="71438"/>
          <a:ext cx="5006578" cy="625078"/>
        </a:xfrm>
        <a:prstGeom prst="roundRect">
          <a:avLst/>
        </a:prstGeom>
        <a:solidFill>
          <a:srgbClr val="FFFF00"/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수입동물 국가</a:t>
          </a:r>
          <a:r>
            <a:rPr lang="en-US" altLang="ko-KR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-</a:t>
          </a:r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품명별 수입 현황</a:t>
          </a:r>
        </a:p>
      </xdr:txBody>
    </xdr:sp>
    <xdr:clientData/>
  </xdr:twoCellAnchor>
  <xdr:twoCellAnchor editAs="oneCell">
    <xdr:from>
      <xdr:col>7</xdr:col>
      <xdr:colOff>553641</xdr:colOff>
      <xdr:row>0</xdr:row>
      <xdr:rowOff>77390</xdr:rowOff>
    </xdr:from>
    <xdr:to>
      <xdr:col>10</xdr:col>
      <xdr:colOff>2382</xdr:colOff>
      <xdr:row>2</xdr:row>
      <xdr:rowOff>309562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16519B4-0E79-9827-53E8-E0F6419F5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8782" y="77390"/>
          <a:ext cx="2080022" cy="648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A11E-E0AE-453B-9EDD-B6F096843AF8}">
  <sheetPr codeName="Sheet2"/>
  <dimension ref="B3:J18"/>
  <sheetViews>
    <sheetView showGridLines="0" tabSelected="1" zoomScale="160" zoomScaleNormal="160" workbookViewId="0">
      <selection activeCell="F5" sqref="F5"/>
    </sheetView>
  </sheetViews>
  <sheetFormatPr defaultRowHeight="16.5" x14ac:dyDescent="0.3"/>
  <cols>
    <col min="1" max="1" width="2.75" customWidth="1"/>
    <col min="3" max="3" width="12.25" customWidth="1"/>
    <col min="4" max="4" width="10.75" customWidth="1"/>
    <col min="5" max="5" width="9.375" customWidth="1"/>
    <col min="6" max="6" width="11.625" customWidth="1"/>
    <col min="8" max="8" width="13.25" customWidth="1"/>
    <col min="9" max="9" width="12.25" customWidth="1"/>
    <col min="12" max="12" width="13" customWidth="1"/>
    <col min="13" max="13" width="4" customWidth="1"/>
  </cols>
  <sheetData>
    <row r="3" spans="2:10" ht="27.6" customHeight="1" x14ac:dyDescent="0.3"/>
    <row r="4" spans="2:10" ht="27" x14ac:dyDescent="0.3">
      <c r="B4" s="1" t="s">
        <v>0</v>
      </c>
      <c r="C4" s="1" t="s">
        <v>10</v>
      </c>
      <c r="D4" s="1" t="s">
        <v>19</v>
      </c>
      <c r="E4" s="8" t="s">
        <v>34</v>
      </c>
      <c r="F4" s="1" t="s">
        <v>23</v>
      </c>
      <c r="G4" s="1" t="s">
        <v>24</v>
      </c>
      <c r="H4" s="2" t="s">
        <v>29</v>
      </c>
      <c r="I4" s="1" t="s">
        <v>30</v>
      </c>
      <c r="J4" s="1" t="s">
        <v>31</v>
      </c>
    </row>
    <row r="5" spans="2:10" x14ac:dyDescent="0.3">
      <c r="B5" s="4" t="s">
        <v>1</v>
      </c>
      <c r="C5" s="4" t="s">
        <v>11</v>
      </c>
      <c r="D5" s="4" t="s">
        <v>20</v>
      </c>
      <c r="E5" s="5">
        <v>0</v>
      </c>
      <c r="F5" s="6">
        <v>1804</v>
      </c>
      <c r="G5" s="4" t="s">
        <v>25</v>
      </c>
      <c r="H5" s="9">
        <v>45558</v>
      </c>
      <c r="I5" s="9">
        <f>H5+30</f>
        <v>45588</v>
      </c>
      <c r="J5" s="3"/>
    </row>
    <row r="6" spans="2:10" x14ac:dyDescent="0.3">
      <c r="B6" s="4" t="s">
        <v>2</v>
      </c>
      <c r="C6" s="4" t="s">
        <v>12</v>
      </c>
      <c r="D6" s="4" t="s">
        <v>21</v>
      </c>
      <c r="E6" s="5">
        <v>-0.55000000000000004</v>
      </c>
      <c r="F6" s="6">
        <v>1178</v>
      </c>
      <c r="G6" s="4" t="s">
        <v>26</v>
      </c>
      <c r="H6" s="9">
        <v>45559</v>
      </c>
      <c r="I6" s="9">
        <f t="shared" ref="I6:I12" si="0">H6+30</f>
        <v>45589</v>
      </c>
      <c r="J6" s="3"/>
    </row>
    <row r="7" spans="2:10" x14ac:dyDescent="0.3">
      <c r="B7" s="4" t="s">
        <v>3</v>
      </c>
      <c r="C7" s="4" t="s">
        <v>13</v>
      </c>
      <c r="D7" s="4" t="s">
        <v>22</v>
      </c>
      <c r="E7" s="5">
        <v>-0.41</v>
      </c>
      <c r="F7" s="3">
        <v>195</v>
      </c>
      <c r="G7" s="4" t="s">
        <v>27</v>
      </c>
      <c r="H7" s="9">
        <v>45560</v>
      </c>
      <c r="I7" s="9">
        <f t="shared" si="0"/>
        <v>45590</v>
      </c>
      <c r="J7" s="3"/>
    </row>
    <row r="8" spans="2:10" x14ac:dyDescent="0.3">
      <c r="B8" s="4" t="s">
        <v>4</v>
      </c>
      <c r="C8" s="4" t="s">
        <v>14</v>
      </c>
      <c r="D8" s="4" t="s">
        <v>20</v>
      </c>
      <c r="E8" s="5">
        <v>0.15</v>
      </c>
      <c r="F8" s="3">
        <v>157</v>
      </c>
      <c r="G8" s="4" t="s">
        <v>26</v>
      </c>
      <c r="H8" s="9">
        <v>45561</v>
      </c>
      <c r="I8" s="9">
        <f t="shared" si="0"/>
        <v>45591</v>
      </c>
      <c r="J8" s="3"/>
    </row>
    <row r="9" spans="2:10" x14ac:dyDescent="0.3">
      <c r="B9" s="4" t="s">
        <v>33</v>
      </c>
      <c r="C9" s="4" t="s">
        <v>15</v>
      </c>
      <c r="D9" s="4" t="s">
        <v>20</v>
      </c>
      <c r="E9" s="5">
        <v>-0.27</v>
      </c>
      <c r="F9" s="3">
        <v>30</v>
      </c>
      <c r="G9" s="4" t="s">
        <v>28</v>
      </c>
      <c r="H9" s="9">
        <v>45562</v>
      </c>
      <c r="I9" s="9">
        <f t="shared" si="0"/>
        <v>45592</v>
      </c>
      <c r="J9" s="3"/>
    </row>
    <row r="10" spans="2:10" x14ac:dyDescent="0.3">
      <c r="B10" s="4" t="s">
        <v>5</v>
      </c>
      <c r="C10" s="4" t="s">
        <v>16</v>
      </c>
      <c r="D10" s="4" t="s">
        <v>21</v>
      </c>
      <c r="E10" s="5">
        <v>0.02</v>
      </c>
      <c r="F10" s="3">
        <v>338</v>
      </c>
      <c r="G10" s="4" t="s">
        <v>25</v>
      </c>
      <c r="H10" s="9">
        <v>45565</v>
      </c>
      <c r="I10" s="9">
        <f t="shared" si="0"/>
        <v>45595</v>
      </c>
      <c r="J10" s="3"/>
    </row>
    <row r="11" spans="2:10" x14ac:dyDescent="0.3">
      <c r="B11" s="4" t="s">
        <v>6</v>
      </c>
      <c r="C11" s="4" t="s">
        <v>17</v>
      </c>
      <c r="D11" s="4" t="s">
        <v>22</v>
      </c>
      <c r="E11" s="5">
        <v>1.95</v>
      </c>
      <c r="F11" s="3">
        <v>425</v>
      </c>
      <c r="G11" s="4" t="s">
        <v>27</v>
      </c>
      <c r="H11" s="9">
        <v>45566</v>
      </c>
      <c r="I11" s="9">
        <f t="shared" si="0"/>
        <v>45596</v>
      </c>
      <c r="J11" s="3"/>
    </row>
    <row r="12" spans="2:10" x14ac:dyDescent="0.3">
      <c r="B12" s="4" t="s">
        <v>7</v>
      </c>
      <c r="C12" s="4" t="s">
        <v>18</v>
      </c>
      <c r="D12" s="4" t="s">
        <v>21</v>
      </c>
      <c r="E12" s="5">
        <v>-0.53</v>
      </c>
      <c r="F12" s="3">
        <v>326</v>
      </c>
      <c r="G12" s="4" t="s">
        <v>25</v>
      </c>
      <c r="H12" s="9">
        <v>45567</v>
      </c>
      <c r="I12" s="9">
        <f t="shared" si="0"/>
        <v>45597</v>
      </c>
      <c r="J12" s="3"/>
    </row>
    <row r="13" spans="2:10" x14ac:dyDescent="0.3">
      <c r="B13" s="10" t="s">
        <v>8</v>
      </c>
      <c r="C13" s="10"/>
      <c r="D13" s="10"/>
      <c r="E13" s="4" t="str">
        <f>COUNTIF(B5:B12,"C*")&amp;"개"</f>
        <v>2개</v>
      </c>
      <c r="F13" s="11"/>
      <c r="G13" s="10" t="s">
        <v>32</v>
      </c>
      <c r="H13" s="10"/>
      <c r="I13" s="10"/>
      <c r="J13" s="5">
        <f>MAX(E5:E12)</f>
        <v>1.95</v>
      </c>
    </row>
    <row r="14" spans="2:10" x14ac:dyDescent="0.3">
      <c r="B14" s="10" t="s">
        <v>9</v>
      </c>
      <c r="C14" s="10"/>
      <c r="D14" s="10"/>
      <c r="E14" s="4" t="str">
        <f>SUMIF(D5:D12,D5,F5:F12)&amp;"마리"</f>
        <v>1991마리</v>
      </c>
      <c r="F14" s="11"/>
      <c r="G14" s="1" t="s">
        <v>10</v>
      </c>
      <c r="H14" s="4" t="s">
        <v>39</v>
      </c>
      <c r="I14" s="1" t="s">
        <v>23</v>
      </c>
      <c r="J14" s="4">
        <f>IFERROR(INDEX(C5:F12,MATCH(H14,C5:C12,0),4),"")</f>
        <v>1804</v>
      </c>
    </row>
    <row r="18" ht="37.15" customHeight="1" x14ac:dyDescent="0.3"/>
  </sheetData>
  <mergeCells count="4">
    <mergeCell ref="G13:I13"/>
    <mergeCell ref="B13:D13"/>
    <mergeCell ref="B14:D14"/>
    <mergeCell ref="F13:F14"/>
  </mergeCells>
  <phoneticPr fontId="1" type="noConversion"/>
  <conditionalFormatting sqref="B5:J12">
    <cfRule type="expression" dxfId="0" priority="1">
      <formula>$F5&gt;=400</formula>
    </cfRule>
  </conditionalFormatting>
  <dataValidations count="1">
    <dataValidation type="list" allowBlank="1" showInputMessage="1" showErrorMessage="1" sqref="H14" xr:uid="{BF2D63F1-19B6-464B-B92F-ED7E81418824}">
      <formula1>$C$5:$C$12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72EE-7F57-4624-BC2D-63BB47DDF10B}">
  <sheetPr codeName="Sheet3"/>
  <dimension ref="A1:D2"/>
  <sheetViews>
    <sheetView zoomScale="205" zoomScaleNormal="205" workbookViewId="0">
      <selection sqref="A1:D2"/>
    </sheetView>
  </sheetViews>
  <sheetFormatPr defaultRowHeight="16.5" x14ac:dyDescent="0.3"/>
  <cols>
    <col min="1" max="1" width="3.875" customWidth="1"/>
    <col min="2" max="4" width="7.75" customWidth="1"/>
  </cols>
  <sheetData>
    <row r="1" spans="1:4" x14ac:dyDescent="0.3">
      <c r="A1" s="12" t="s">
        <v>35</v>
      </c>
      <c r="B1" s="7" t="s">
        <v>36</v>
      </c>
      <c r="C1" s="7" t="s">
        <v>37</v>
      </c>
      <c r="D1" s="7" t="s">
        <v>38</v>
      </c>
    </row>
    <row r="2" spans="1:4" ht="34.15" customHeight="1" x14ac:dyDescent="0.3">
      <c r="A2" s="12"/>
      <c r="B2" s="7"/>
      <c r="C2" s="7"/>
      <c r="D2" s="7"/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제1작업</vt:lpstr>
      <vt:lpstr>결재란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2025-08-29T03:17:36Z</dcterms:created>
  <dcterms:modified xsi:type="dcterms:W3CDTF">2025-10-18T08:41:20Z</dcterms:modified>
</cp:coreProperties>
</file>