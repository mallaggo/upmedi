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우리컴퓨터아카데미\Documents\ITQ\"/>
    </mc:Choice>
  </mc:AlternateContent>
  <xr:revisionPtr revIDLastSave="0" documentId="8_{419C3E88-AFD0-4CB1-A38F-9A0053F3F26D}" xr6:coauthVersionLast="47" xr6:coauthVersionMax="47" xr10:uidLastSave="{00000000-0000-0000-0000-000000000000}"/>
  <bookViews>
    <workbookView xWindow="-120" yWindow="-120" windowWidth="29040" windowHeight="15840" xr2:uid="{64E0D0E5-53DA-4226-826C-F6118811EBA1}"/>
  </bookViews>
  <sheets>
    <sheet name="제2작업" sheetId="4" r:id="rId1"/>
    <sheet name="제1작업" sheetId="1" r:id="rId2"/>
    <sheet name="결재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E14" i="1" l="1"/>
  <c r="I6" i="1" l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<sst xmlns="http://schemas.openxmlformats.org/spreadsheetml/2006/main" count="52" uniqueCount="41">
  <si>
    <t>관리코드</t>
    <phoneticPr fontId="1" type="noConversion"/>
  </si>
  <si>
    <t>C8641</t>
    <phoneticPr fontId="1" type="noConversion"/>
  </si>
  <si>
    <t>V8639</t>
    <phoneticPr fontId="1" type="noConversion"/>
  </si>
  <si>
    <t>K4498</t>
    <phoneticPr fontId="1" type="noConversion"/>
  </si>
  <si>
    <t>C8664</t>
    <phoneticPr fontId="1" type="noConversion"/>
  </si>
  <si>
    <t>U0114</t>
    <phoneticPr fontId="1" type="noConversion"/>
  </si>
  <si>
    <t>J4491</t>
    <phoneticPr fontId="1" type="noConversion"/>
  </si>
  <si>
    <t>U0103</t>
    <phoneticPr fontId="1" type="noConversion"/>
  </si>
  <si>
    <t>주요 관리 품종 개수</t>
    <phoneticPr fontId="1" type="noConversion"/>
  </si>
  <si>
    <t>포유류 수입 두수 합계</t>
    <phoneticPr fontId="1" type="noConversion"/>
  </si>
  <si>
    <t>품명</t>
    <phoneticPr fontId="1" type="noConversion"/>
  </si>
  <si>
    <t>개</t>
    <phoneticPr fontId="1" type="noConversion"/>
  </si>
  <si>
    <t>기니아피그</t>
    <phoneticPr fontId="1" type="noConversion"/>
  </si>
  <si>
    <t>앵무새</t>
    <phoneticPr fontId="1" type="noConversion"/>
  </si>
  <si>
    <t>고양이</t>
    <phoneticPr fontId="1" type="noConversion"/>
  </si>
  <si>
    <t>원숭이</t>
    <phoneticPr fontId="1" type="noConversion"/>
  </si>
  <si>
    <t>프레리독</t>
    <phoneticPr fontId="1" type="noConversion"/>
  </si>
  <si>
    <t>조류기타</t>
    <phoneticPr fontId="1" type="noConversion"/>
  </si>
  <si>
    <t>렛트</t>
    <phoneticPr fontId="1" type="noConversion"/>
  </si>
  <si>
    <t>품목</t>
    <phoneticPr fontId="1" type="noConversion"/>
  </si>
  <si>
    <t>포유류</t>
    <phoneticPr fontId="1" type="noConversion"/>
  </si>
  <si>
    <t>기타동물</t>
    <phoneticPr fontId="1" type="noConversion"/>
  </si>
  <si>
    <t>조류</t>
    <phoneticPr fontId="1" type="noConversion"/>
  </si>
  <si>
    <t>두수(마리/군)</t>
    <phoneticPr fontId="1" type="noConversion"/>
  </si>
  <si>
    <t>수입국가</t>
    <phoneticPr fontId="1" type="noConversion"/>
  </si>
  <si>
    <t>미국</t>
    <phoneticPr fontId="1" type="noConversion"/>
  </si>
  <si>
    <t>일본</t>
    <phoneticPr fontId="1" type="noConversion"/>
  </si>
  <si>
    <t>스페인</t>
    <phoneticPr fontId="1" type="noConversion"/>
  </si>
  <si>
    <t>중국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</si>
  <si>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</si>
  <si>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</si>
  <si>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</si>
  <si>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최고 전년대비 증감률</t>
    <phoneticPr fontId="1" type="noConversion"/>
  </si>
  <si>
    <t>U0178</t>
    <phoneticPr fontId="1" type="noConversion"/>
  </si>
  <si>
    <t>전년대비 증감률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</si>
  <si>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</si>
  <si>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</si>
  <si>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</si>
  <si>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</si>
  <si>
    <t>C8641</t>
  </si>
  <si>
    <t>COUNTIF(B5:B12)&amp;"개"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</si>
</sst>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2" fillId="0" borderId="0" xfId="0" applyFont="1" applyAlignment="1">
      <alignment vertical="center"/>
    </xf>
    <xf numFmtId="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</a:rPr>
              <a:t>포유류 및 기타동물의 수입현황</a:t>
            </a:r>
          </a:p>
        </c:rich>
      </c:tx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두수(마리/군)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(제1작업!$C$5:$C$6,제1작업!$C$8:$C$10,제1작업!$C$12)</c:f>
              <c:strCache>
                <c:ptCount val="6"/>
                <c:pt idx="0">
                  <c:v>개</c:v>
                </c:pt>
                <c:pt idx="1">
                  <c:v>기니아피그</c:v>
                </c:pt>
                <c:pt idx="2">
                  <c:v>고양이</c:v>
                </c:pt>
                <c:pt idx="3">
                  <c:v>원숭이</c:v>
                </c:pt>
                <c:pt idx="4">
                  <c:v>프레리독</c:v>
                </c:pt>
                <c:pt idx="5">
                  <c:v>렛트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제1작업!$E$5:$E$12</c15:sqref>
                  </c15:fullRef>
                </c:ext>
              </c:extLst>
              <c:f>(제1작업!$E$5:$E$6,제1작업!$E$8:$E$10,제1작업!$E$12)</c:f>
              <c:numCache>
                <c:formatCode>0%</c:formatCode>
                <c:ptCount val="6"/>
                <c:pt idx="0">
                  <c:v>0</c:v>
                </c:pt>
                <c:pt idx="1">
                  <c:v>-0.55000000000000004</c:v>
                </c:pt>
                <c:pt idx="2">
                  <c:v>0.15</c:v>
                </c:pt>
                <c:pt idx="3">
                  <c:v>-0.27</c:v>
                </c:pt>
                <c:pt idx="4">
                  <c:v>0.02</c:v>
                </c:pt>
                <c:pt idx="5">
                  <c:v>-0.53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B-47B6-B129-B5648330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384800"/>
        <c:axId val="25389120"/>
      </c:barChart>
      <c:lineChart>
        <c:grouping val="standard"/>
        <c:varyColors val="0"/>
        <c:ser>
          <c:idx val="1"/>
          <c:order val="1"/>
          <c:tx>
            <c:v>전년대비 증감율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(제1작업!$C$5:$C$6,제1작업!$C$8:$C$10,제1작업!$C$12)</c:f>
              <c:strCache>
                <c:ptCount val="6"/>
                <c:pt idx="0">
                  <c:v>개</c:v>
                </c:pt>
                <c:pt idx="1">
                  <c:v>기니아피그</c:v>
                </c:pt>
                <c:pt idx="2">
                  <c:v>고양이</c:v>
                </c:pt>
                <c:pt idx="3">
                  <c:v>원숭이</c:v>
                </c:pt>
                <c:pt idx="4">
                  <c:v>프레리독</c:v>
                </c:pt>
                <c:pt idx="5">
                  <c:v>렛트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제1작업!$F$5:$F$12</c15:sqref>
                  </c15:fullRef>
                </c:ext>
              </c:extLst>
              <c:f>(제1작업!$F$5:$F$6,제1작업!$F$8:$F$10,제1작업!$F$12)</c:f>
              <c:numCache>
                <c:formatCode>#,##0</c:formatCode>
                <c:ptCount val="6"/>
                <c:pt idx="0">
                  <c:v>1804</c:v>
                </c:pt>
                <c:pt idx="1">
                  <c:v>1178</c:v>
                </c:pt>
                <c:pt idx="2" formatCode="General">
                  <c:v>157</c:v>
                </c:pt>
                <c:pt idx="3" formatCode="General">
                  <c:v>30</c:v>
                </c:pt>
                <c:pt idx="4" formatCode="General">
                  <c:v>338</c:v>
                </c:pt>
                <c:pt idx="5" formatCode="General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B-47B6-B129-B5648330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19392"/>
        <c:axId val="219018432"/>
      </c:lineChart>
      <c:catAx>
        <c:axId val="253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89120"/>
        <c:crosses val="autoZero"/>
        <c:auto val="1"/>
        <c:lblAlgn val="ctr"/>
        <c:lblOffset val="100"/>
        <c:noMultiLvlLbl val="0"/>
      </c:catAx>
      <c:valAx>
        <c:axId val="25389120"/>
        <c:scaling>
          <c:orientation val="minMax"/>
          <c:max val="2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84800"/>
        <c:crosses val="autoZero"/>
        <c:crossBetween val="between"/>
        <c:majorUnit val="10"/>
      </c:valAx>
      <c:valAx>
        <c:axId val="21901843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9019392"/>
        <c:crosses val="max"/>
        <c:crossBetween val="between"/>
      </c:valAx>
      <c:catAx>
        <c:axId val="21901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9018432"/>
        <c:auto val="1"/>
        <c:lblAlgn val="ctr"/>
        <c:lblOffset val="100"/>
        <c:noMultiLvlLbl val="0"/>
      </c:catAx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14D380-2D8F-49B1-986B-38A9E7A2FB44}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5BBA93D-CDBC-17FE-F70D-2056B6B93A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17860</xdr:colOff>
      <xdr:row>0</xdr:row>
      <xdr:rowOff>107157</xdr:rowOff>
    </xdr:from>
    <xdr:to>
      <xdr:col>7</xdr:col>
      <xdr:colOff>119061</xdr:colOff>
      <xdr:row>2</xdr:row>
      <xdr:rowOff>208360</xdr:rowOff>
    </xdr:to>
    <xdr:sp macro="" textlink="">
      <xdr:nvSpPr>
        <xdr:cNvPr id="2" name="순서도: 대체 처리 1">
          <a:extLst>
            <a:ext uri="{FF2B5EF4-FFF2-40B4-BE49-F238E27FC236}">
              <a16:creationId xmlns:a16="http://schemas.microsoft.com/office/drawing/2014/main" id="{DEECD100-F810-D9F4-65A9-DCB079A53366}"/>
            </a:ext>
          </a:extLst>
        </xdr:cNvPr>
        <xdr:cNvSpPr/>
      </xdr:nvSpPr>
      <xdr:spPr>
        <a:xfrm>
          <a:off x="226219" y="107157"/>
          <a:ext cx="4827983" cy="517922"/>
        </a:xfrm>
        <a:prstGeom prst="flowChartAlternateProcess">
          <a:avLst/>
        </a:prstGeom>
        <a:solidFill>
          <a:srgbClr val="FFFF00"/>
        </a:solidFill>
        <a:ln>
          <a:solidFill>
            <a:sysClr val="windowText" lastClr="000000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4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수입동물 국가</a:t>
          </a:r>
          <a:r>
            <a:rPr lang="en-US" altLang="ko-KR" sz="24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-</a:t>
          </a:r>
          <a:r>
            <a:rPr lang="ko-KR" altLang="en-US" sz="24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품종별 수입현황</a:t>
          </a:r>
        </a:p>
      </xdr:txBody>
    </xdr:sp>
    <xdr:clientData/>
  </xdr:twoCellAnchor>
  <xdr:twoCellAnchor editAs="oneCell">
    <xdr:from>
      <xdr:col>7</xdr:col>
      <xdr:colOff>392905</xdr:colOff>
      <xdr:row>0</xdr:row>
      <xdr:rowOff>107156</xdr:rowOff>
    </xdr:from>
    <xdr:to>
      <xdr:col>9</xdr:col>
      <xdr:colOff>631030</xdr:colOff>
      <xdr:row>2</xdr:row>
      <xdr:rowOff>327422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3693889-B65A-F80E-7D10-C33D1C15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8046" y="107156"/>
          <a:ext cx="2184797" cy="56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8"/>
  <sheetViews>
    <sheetView showGridLines="0" zoomScale="160" zoomScaleNormal="160" workbookViewId="0">
      <selection activeCell="G19" sqref="G19"/>
    </sheetView>
  </sheetViews>
  <sheetFormatPr defaultRowHeight="13.5" x14ac:dyDescent="0.3"/>
  <cols>
    <col min="1" max="1" width="2.75" style="10" customWidth="1"/>
    <col min="2" max="2" width="9" style="10"/>
    <col min="3" max="3" width="12.25" style="10" customWidth="1"/>
    <col min="4" max="4" width="10.75" style="10" customWidth="1"/>
    <col min="5" max="5" width="9.375" style="10" customWidth="1"/>
    <col min="6" max="6" width="11.625" style="10" customWidth="1"/>
    <col min="7" max="7" width="9" style="10"/>
    <col min="8" max="8" width="13.25" style="10" customWidth="1"/>
    <col min="9" max="9" width="12.25" style="10" customWidth="1"/>
    <col min="10" max="11" width="9" style="10"/>
    <col min="12" max="12" width="13" style="10" customWidth="1"/>
    <col min="13" max="13" width="4" style="10" customWidth="1"/>
    <col min="14" max="16384" width="9" style="10"/>
  </cols>
  <sheetData>
    <row r="3" spans="2:10" ht="27.6" customHeight="1" x14ac:dyDescent="0.3"/>
    <row r="4" spans="2:10" ht="27" x14ac:dyDescent="0.3">
      <c r="B4" s="1" t="s">
        <v>0</v>
      </c>
      <c r="C4" s="1" t="s">
        <v>10</v>
      </c>
      <c r="D4" s="1" t="s">
        <v>19</v>
      </c>
      <c r="E4" s="5" t="s">
        <v>34</v>
      </c>
      <c r="F4" s="1" t="s">
        <v>23</v>
      </c>
      <c r="G4" s="1" t="s">
        <v>24</v>
      </c>
      <c r="H4" s="2" t="s">
        <v>29</v>
      </c>
      <c r="I4" s="1" t="s">
        <v>30</v>
      </c>
      <c r="J4" s="1" t="s">
        <v>31</v>
      </c>
    </row>
    <row r="5" spans="2:10" x14ac:dyDescent="0.3">
      <c r="B5" s="3" t="s">
        <v>1</v>
      </c>
      <c r="C5" s="3" t="s">
        <v>11</v>
      </c>
      <c r="D5" s="3" t="s">
        <v>20</v>
      </c>
      <c r="E5" s="11">
        <v>0</v>
      </c>
      <c r="F5" s="12">
        <v>1804</v>
      </c>
      <c r="G5" s="3" t="s">
        <v>25</v>
      </c>
      <c r="H5" s="6">
        <v>45558</v>
      </c>
      <c r="I5" s="6">
        <f>H5+30</f>
        <v>45588</v>
      </c>
    </row>
    <row r="6" spans="2:10" x14ac:dyDescent="0.3">
      <c r="B6" s="3" t="s">
        <v>2</v>
      </c>
      <c r="C6" s="3" t="s">
        <v>12</v>
      </c>
      <c r="D6" s="3" t="s">
        <v>21</v>
      </c>
      <c r="E6" s="11">
        <v>-0.55000000000000004</v>
      </c>
      <c r="F6" s="12">
        <v>1178</v>
      </c>
      <c r="G6" s="3" t="s">
        <v>26</v>
      </c>
      <c r="H6" s="6">
        <v>45559</v>
      </c>
      <c r="I6" s="6">
        <f t="shared" ref="I6:I12" si="0">H6+30</f>
        <v>45589</v>
      </c>
      <c r="J6" s="13"/>
    </row>
    <row r="7" spans="2:10" x14ac:dyDescent="0.3">
      <c r="B7" s="3" t="s">
        <v>3</v>
      </c>
      <c r="C7" s="3" t="s">
        <v>13</v>
      </c>
      <c r="D7" s="3" t="s">
        <v>22</v>
      </c>
      <c r="E7" s="11">
        <v>-0.41</v>
      </c>
      <c r="F7" s="13">
        <v>195</v>
      </c>
      <c r="G7" s="3" t="s">
        <v>27</v>
      </c>
      <c r="H7" s="6">
        <v>45560</v>
      </c>
      <c r="I7" s="6">
        <f t="shared" si="0"/>
        <v>45590</v>
      </c>
      <c r="J7" s="13"/>
    </row>
    <row r="8" spans="2:10" x14ac:dyDescent="0.3">
      <c r="B8" s="3" t="s">
        <v>4</v>
      </c>
      <c r="C8" s="3" t="s">
        <v>14</v>
      </c>
      <c r="D8" s="3" t="s">
        <v>20</v>
      </c>
      <c r="E8" s="11">
        <v>0.15</v>
      </c>
      <c r="F8" s="13">
        <v>157</v>
      </c>
      <c r="G8" s="3" t="s">
        <v>26</v>
      </c>
      <c r="H8" s="6">
        <v>45561</v>
      </c>
      <c r="I8" s="6">
        <f t="shared" si="0"/>
        <v>45591</v>
      </c>
      <c r="J8" s="13"/>
    </row>
    <row r="9" spans="2:10" x14ac:dyDescent="0.3">
      <c r="B9" s="3" t="s">
        <v>33</v>
      </c>
      <c r="C9" s="3" t="s">
        <v>15</v>
      </c>
      <c r="D9" s="3" t="s">
        <v>20</v>
      </c>
      <c r="E9" s="11">
        <v>-0.27</v>
      </c>
      <c r="F9" s="13">
        <v>30</v>
      </c>
      <c r="G9" s="3" t="s">
        <v>28</v>
      </c>
      <c r="H9" s="6">
        <v>45562</v>
      </c>
      <c r="I9" s="6">
        <f t="shared" si="0"/>
        <v>45592</v>
      </c>
      <c r="J9" s="13"/>
    </row>
    <row r="10" spans="2:10" x14ac:dyDescent="0.3">
      <c r="B10" s="3" t="s">
        <v>5</v>
      </c>
      <c r="C10" s="3" t="s">
        <v>16</v>
      </c>
      <c r="D10" s="3" t="s">
        <v>21</v>
      </c>
      <c r="E10" s="11">
        <v>0.02</v>
      </c>
      <c r="F10" s="13">
        <v>338</v>
      </c>
      <c r="G10" s="3" t="s">
        <v>25</v>
      </c>
      <c r="H10" s="6">
        <v>45565</v>
      </c>
      <c r="I10" s="6">
        <f t="shared" si="0"/>
        <v>45595</v>
      </c>
      <c r="J10" s="13"/>
    </row>
    <row r="11" spans="2:10" x14ac:dyDescent="0.3">
      <c r="B11" s="3" t="s">
        <v>6</v>
      </c>
      <c r="C11" s="3" t="s">
        <v>17</v>
      </c>
      <c r="D11" s="3" t="s">
        <v>22</v>
      </c>
      <c r="E11" s="11">
        <v>1.95</v>
      </c>
      <c r="F11" s="13">
        <v>425</v>
      </c>
      <c r="G11" s="3" t="s">
        <v>27</v>
      </c>
      <c r="H11" s="6">
        <v>45566</v>
      </c>
      <c r="I11" s="6">
        <f t="shared" si="0"/>
        <v>45596</v>
      </c>
      <c r="J11" s="13"/>
    </row>
    <row r="12" spans="2:10" x14ac:dyDescent="0.3">
      <c r="B12" s="3" t="s">
        <v>7</v>
      </c>
      <c r="C12" s="3" t="s">
        <v>18</v>
      </c>
      <c r="D12" s="3" t="s">
        <v>21</v>
      </c>
      <c r="E12" s="11">
        <v>-0.53</v>
      </c>
      <c r="F12" s="13">
        <v>326</v>
      </c>
      <c r="G12" s="3" t="s">
        <v>25</v>
      </c>
      <c r="H12" s="6">
        <v>45567</v>
      </c>
      <c r="I12" s="6">
        <f t="shared" si="0"/>
        <v>45597</v>
      </c>
      <c r="J12" s="13"/>
    </row>
    <row r="13" spans="2:10" x14ac:dyDescent="0.3">
      <c r="B13" s="7" t="s">
        <v>8</v>
      </c>
      <c r="C13" s="7"/>
      <c r="D13" s="7"/>
      <c r="E13" s="13"/>
      <c r="F13" s="8"/>
      <c r="G13" s="7" t="s">
        <v>32</v>
      </c>
      <c r="H13" s="7"/>
      <c r="I13" s="7"/>
      <c r="J13" s="11">
        <f>MAX(E5:E12)</f>
        <v>1.95</v>
      </c>
    </row>
    <row r="14" spans="2:10" x14ac:dyDescent="0.3">
      <c r="B14" s="7" t="s">
        <v>9</v>
      </c>
      <c r="C14" s="7"/>
      <c r="D14" s="7"/>
      <c r="E14" s="3" t="str">
        <f>SUMIF(D5:D12,D5,F5:F12)&amp;"마리"</f>
        <v>1991마리</v>
      </c>
      <c r="F14" s="8"/>
      <c r="G14" s="1" t="s">
        <v>10</v>
      </c>
      <c r="H14" s="3" t="s">
        <v>39</v>
      </c>
      <c r="I14" s="1" t="s">
        <v>23</v>
      </c>
      <c r="J14" s="3" t="str">
        <f>IFERROR(INDEX(C5:F12,MATCH(H14,C5:C12,0),4),"")</f>
        <v/>
      </c>
    </row>
    <row r="17" spans="5:5" x14ac:dyDescent="0.3">
      <c r="E17" s="10" t="s">
        <v>40</v>
      </c>
    </row>
    <row r="18" spans="5:5" ht="37.15" customHeight="1" x14ac:dyDescent="0.3"/>
  </sheetData>
  <mergeCells count="4">
    <mergeCell ref="G13:I13"/>
    <mergeCell ref="B13:D13"/>
    <mergeCell ref="B14:D14"/>
    <mergeCell ref="F13:F14"/>
  </mergeCells>
  <phoneticPr fontId="1" type="noConversion"/>
  <dataValidations count="1">
    <dataValidation type="list" allowBlank="1" showInputMessage="1" showErrorMessage="1" sqref="H14" xr:uid="{C88BA960-7290-4A04-B57E-5D13A2797617}">
      <formula1>$B$5:$B$12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sqref="A1:D2"/>
    </sheetView>
  </sheetViews>
  <sheetFormatPr defaultRowHeight="16.5" x14ac:dyDescent="0.3"/>
  <cols>
    <col min="1" max="1" width="3.875" customWidth="1"/>
    <col min="2" max="4" width="7.75" customWidth="1"/>
  </cols>
  <sheetData>
    <row r="1" spans="1:4" x14ac:dyDescent="0.3">
      <c r="A1" s="9" t="s">
        <v>35</v>
      </c>
      <c r="B1" s="4" t="s">
        <v>36</v>
      </c>
      <c r="C1" s="4" t="s">
        <v>37</v>
      </c>
      <c r="D1" s="4" t="s">
        <v>38</v>
      </c>
    </row>
    <row r="2" spans="1:4" ht="34.15" customHeight="1" x14ac:dyDescent="0.3">
      <c r="A2" s="9"/>
      <c r="B2" s="4"/>
      <c r="C2" s="4"/>
      <c r="D2" s="4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1</vt:i4>
      </vt:variant>
    </vt:vector>
  </HeadingPairs>
  <TitlesOfParts>
    <vt:vector size="3" baseType="lpstr">
      <vt:lpstr>제1작업</vt:lpstr>
      <vt:lpstr>결재란</vt:lpstr>
      <vt:lpstr>제2작업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우리컴퓨터아카데미</cp:lastModifiedBy>
  <dcterms:created xsi:type="dcterms:W3CDTF">2025-08-29T03:17:36Z</dcterms:created>
  <dcterms:modified xsi:type="dcterms:W3CDTF">2025-10-18T08:50:30Z</dcterms:modified>
</cp:coreProperties>
</file>