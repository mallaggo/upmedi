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경화\Desktop\교재\컴활실기기출7회분(25년)\기출6회차\"/>
    </mc:Choice>
  </mc:AlternateContent>
  <xr:revisionPtr revIDLastSave="0" documentId="8_{51829589-3B13-40B6-A4A0-93A6644E6476}" xr6:coauthVersionLast="47" xr6:coauthVersionMax="47" xr10:uidLastSave="{00000000-0000-0000-0000-000000000000}"/>
  <bookViews>
    <workbookView xWindow="21510" yWindow="880" windowWidth="11900" windowHeight="8500" tabRatio="899" activeTab="3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4" l="1"/>
  <c r="J10" i="4"/>
  <c r="J9" i="4"/>
  <c r="J8" i="4"/>
  <c r="J7" i="4"/>
  <c r="J6" i="4"/>
  <c r="J5" i="4"/>
  <c r="J4" i="4"/>
  <c r="J3" i="4"/>
  <c r="F15" i="3"/>
  <c r="F14" i="3"/>
  <c r="F13" i="3"/>
  <c r="F12" i="3"/>
  <c r="F11" i="3"/>
  <c r="F10" i="3"/>
  <c r="F9" i="3"/>
  <c r="F8" i="3"/>
  <c r="F7" i="3"/>
  <c r="F6" i="3"/>
  <c r="F5" i="3"/>
  <c r="F4" i="3"/>
  <c r="F12" i="5"/>
  <c r="F11" i="5"/>
  <c r="F10" i="5"/>
  <c r="F9" i="5"/>
  <c r="F8" i="5"/>
  <c r="F7" i="5"/>
  <c r="F6" i="5"/>
  <c r="F5" i="5"/>
  <c r="F4" i="5"/>
</calcChain>
</file>

<file path=xl/sharedStrings.xml><?xml version="1.0" encoding="utf-8"?>
<sst xmlns="http://schemas.openxmlformats.org/spreadsheetml/2006/main" count="254" uniqueCount="187">
  <si>
    <t>기본영역</t>
    <phoneticPr fontId="2" type="noConversion"/>
  </si>
  <si>
    <t>이름</t>
    <phoneticPr fontId="2" type="noConversion"/>
  </si>
  <si>
    <t>합계</t>
    <phoneticPr fontId="2" type="noConversion"/>
  </si>
  <si>
    <t>[표2]</t>
    <phoneticPr fontId="2" type="noConversion"/>
  </si>
  <si>
    <t>성명</t>
    <phoneticPr fontId="2" type="noConversion"/>
  </si>
  <si>
    <t>박주영</t>
    <phoneticPr fontId="2" type="noConversion"/>
  </si>
  <si>
    <t>[표3]</t>
    <phoneticPr fontId="2" type="noConversion"/>
  </si>
  <si>
    <t>학과</t>
    <phoneticPr fontId="2" type="noConversion"/>
  </si>
  <si>
    <t>평점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</si>
  <si>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</si>
  <si>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</si>
  <si>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</si>
  <si>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</si>
  <si>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정보통신과</t>
    <phoneticPr fontId="2" type="noConversion"/>
  </si>
  <si>
    <t>[표4]</t>
    <phoneticPr fontId="2" type="noConversion"/>
  </si>
  <si>
    <t>[표5]</t>
    <phoneticPr fontId="2" type="noConversion"/>
  </si>
  <si>
    <t>소양인증포인트 현황</t>
    <phoneticPr fontId="2" type="noConversion"/>
  </si>
  <si>
    <t>인성봉사</t>
    <phoneticPr fontId="2" type="noConversion"/>
  </si>
  <si>
    <t>교육훈련</t>
    <phoneticPr fontId="2" type="noConversion"/>
  </si>
  <si>
    <t>유아교육</t>
    <phoneticPr fontId="2" type="noConversion"/>
  </si>
  <si>
    <t>강소미</t>
    <phoneticPr fontId="2" type="noConversion"/>
  </si>
  <si>
    <t>정보통신</t>
    <phoneticPr fontId="2" type="noConversion"/>
  </si>
  <si>
    <t>김경호</t>
    <phoneticPr fontId="2" type="noConversion"/>
  </si>
  <si>
    <t>이주현</t>
    <phoneticPr fontId="2" type="noConversion"/>
  </si>
  <si>
    <t>임정민</t>
    <phoneticPr fontId="2" type="noConversion"/>
  </si>
  <si>
    <t>경영정보</t>
    <phoneticPr fontId="2" type="noConversion"/>
  </si>
  <si>
    <t>정소영</t>
    <phoneticPr fontId="2" type="noConversion"/>
  </si>
  <si>
    <t>주경철</t>
    <phoneticPr fontId="2" type="noConversion"/>
  </si>
  <si>
    <t>한기철</t>
    <phoneticPr fontId="2" type="noConversion"/>
  </si>
  <si>
    <t>한보미</t>
    <phoneticPr fontId="2" type="noConversion"/>
  </si>
  <si>
    <t>학과별 인증 점수 취득 총점</t>
    <phoneticPr fontId="2" type="noConversion"/>
  </si>
  <si>
    <t xml:space="preserve">[표4] </t>
    <phoneticPr fontId="2" type="noConversion"/>
  </si>
  <si>
    <t>정보인증</t>
    <phoneticPr fontId="2" type="noConversion"/>
  </si>
  <si>
    <t>국제인증</t>
    <phoneticPr fontId="2" type="noConversion"/>
  </si>
  <si>
    <t>전공인증</t>
    <phoneticPr fontId="2" type="noConversion"/>
  </si>
  <si>
    <t>컴퓨터정보과</t>
    <phoneticPr fontId="2" type="noConversion"/>
  </si>
  <si>
    <t>유아교육과</t>
    <phoneticPr fontId="2" type="noConversion"/>
  </si>
  <si>
    <t>컴퓨터게임과</t>
    <phoneticPr fontId="2" type="noConversion"/>
  </si>
  <si>
    <t>특수교육과</t>
    <phoneticPr fontId="2" type="noConversion"/>
  </si>
  <si>
    <t>소양직무인증점수</t>
    <phoneticPr fontId="2" type="noConversion"/>
  </si>
  <si>
    <t>소양인증</t>
    <phoneticPr fontId="2" type="noConversion"/>
  </si>
  <si>
    <t>직무인증</t>
    <phoneticPr fontId="2" type="noConversion"/>
  </si>
  <si>
    <t>총점</t>
    <phoneticPr fontId="2" type="noConversion"/>
  </si>
  <si>
    <t>김영우</t>
    <phoneticPr fontId="2" type="noConversion"/>
  </si>
  <si>
    <t>강주찬</t>
    <phoneticPr fontId="2" type="noConversion"/>
  </si>
  <si>
    <t>이홍주</t>
    <phoneticPr fontId="2" type="noConversion"/>
  </si>
  <si>
    <t>박상아</t>
    <phoneticPr fontId="2" type="noConversion"/>
  </si>
  <si>
    <t>정성준</t>
    <phoneticPr fontId="2" type="noConversion"/>
  </si>
  <si>
    <t>연도별 장학금 현황</t>
    <phoneticPr fontId="2" type="noConversion"/>
  </si>
  <si>
    <t>구분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</si>
  <si>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</si>
  <si>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</si>
  <si>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</si>
  <si>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[표1] 2021년</t>
    <phoneticPr fontId="2" type="noConversion"/>
  </si>
  <si>
    <t>[표2] 2022년</t>
    <phoneticPr fontId="2" type="noConversion"/>
  </si>
  <si>
    <t>[표3] 2023년</t>
    <phoneticPr fontId="2" type="noConversion"/>
  </si>
  <si>
    <t>2020년</t>
    <phoneticPr fontId="2" type="noConversion"/>
  </si>
  <si>
    <t>2021년</t>
    <phoneticPr fontId="2" type="noConversion"/>
  </si>
  <si>
    <t>2022년</t>
    <phoneticPr fontId="2" type="noConversion"/>
  </si>
  <si>
    <t>2023년</t>
    <phoneticPr fontId="2" type="noConversion"/>
  </si>
  <si>
    <t>E-BOOK 판매 현황</t>
    <phoneticPr fontId="2" type="noConversion"/>
  </si>
  <si>
    <t>서울시 도서관 현황 및 이용 실태</t>
    <phoneticPr fontId="2" type="noConversion"/>
  </si>
  <si>
    <t>도서관명</t>
    <phoneticPr fontId="2" type="noConversion"/>
  </si>
  <si>
    <t>개관일</t>
    <phoneticPr fontId="2" type="noConversion"/>
  </si>
  <si>
    <t>장소</t>
    <phoneticPr fontId="2" type="noConversion"/>
  </si>
  <si>
    <t>장서수</t>
    <phoneticPr fontId="2" type="noConversion"/>
  </si>
  <si>
    <t>열람권수</t>
    <phoneticPr fontId="2" type="noConversion"/>
  </si>
  <si>
    <t>방문자수</t>
    <phoneticPr fontId="2" type="noConversion"/>
  </si>
  <si>
    <t>시립도서관</t>
    <phoneticPr fontId="2" type="noConversion"/>
  </si>
  <si>
    <t>서울 종로구</t>
    <phoneticPr fontId="2" type="noConversion"/>
  </si>
  <si>
    <t>서울도서관</t>
    <phoneticPr fontId="2" type="noConversion"/>
  </si>
  <si>
    <t>서울 중구</t>
    <phoneticPr fontId="2" type="noConversion"/>
  </si>
  <si>
    <t>어린이도서관</t>
    <phoneticPr fontId="2" type="noConversion"/>
  </si>
  <si>
    <t>서울 마포구</t>
    <phoneticPr fontId="2" type="noConversion"/>
  </si>
  <si>
    <t>스마트도서관</t>
    <phoneticPr fontId="2" type="noConversion"/>
  </si>
  <si>
    <t>서울 서초구</t>
    <phoneticPr fontId="2" type="noConversion"/>
  </si>
  <si>
    <t>정독도서관</t>
    <phoneticPr fontId="2" type="noConversion"/>
  </si>
  <si>
    <t>서울 노원구</t>
    <phoneticPr fontId="2" type="noConversion"/>
  </si>
  <si>
    <t>튼튼도서관</t>
    <phoneticPr fontId="2" type="noConversion"/>
  </si>
  <si>
    <t>서울 강남구</t>
    <phoneticPr fontId="2" type="noConversion"/>
  </si>
  <si>
    <t>어울림도서관</t>
    <phoneticPr fontId="2" type="noConversion"/>
  </si>
  <si>
    <t>서울 중랑구</t>
    <phoneticPr fontId="2" type="noConversion"/>
  </si>
  <si>
    <t>상공마트 판매 현황</t>
    <phoneticPr fontId="2" type="noConversion"/>
  </si>
  <si>
    <t>제품명</t>
    <phoneticPr fontId="2" type="noConversion"/>
  </si>
  <si>
    <t>입고일자</t>
    <phoneticPr fontId="2" type="noConversion"/>
  </si>
  <si>
    <t>입고량</t>
    <phoneticPr fontId="2" type="noConversion"/>
  </si>
  <si>
    <t>판매량</t>
    <phoneticPr fontId="2" type="noConversion"/>
  </si>
  <si>
    <t>판매가</t>
    <phoneticPr fontId="2" type="noConversion"/>
  </si>
  <si>
    <t>판매금액</t>
    <phoneticPr fontId="2" type="noConversion"/>
  </si>
  <si>
    <t>맛있는라면</t>
    <phoneticPr fontId="2" type="noConversion"/>
  </si>
  <si>
    <t>대패삼겹살</t>
    <phoneticPr fontId="2" type="noConversion"/>
  </si>
  <si>
    <t>새빨간사과</t>
    <phoneticPr fontId="2" type="noConversion"/>
  </si>
  <si>
    <t>신선대란</t>
    <phoneticPr fontId="2" type="noConversion"/>
  </si>
  <si>
    <t>꿀고구마</t>
    <phoneticPr fontId="2" type="noConversion"/>
  </si>
  <si>
    <t>우리우유</t>
    <phoneticPr fontId="2" type="noConversion"/>
  </si>
  <si>
    <t>훈제오리</t>
    <phoneticPr fontId="2" type="noConversion"/>
  </si>
  <si>
    <t>제주은갈치</t>
    <phoneticPr fontId="2" type="noConversion"/>
  </si>
  <si>
    <t>꽃갈비살</t>
    <phoneticPr fontId="2" type="noConversion"/>
  </si>
  <si>
    <t>모둠초밥</t>
    <phoneticPr fontId="2" type="noConversion"/>
  </si>
  <si>
    <t>성주참외</t>
    <phoneticPr fontId="2" type="noConversion"/>
  </si>
  <si>
    <t>씨없는포도</t>
    <phoneticPr fontId="2" type="noConversion"/>
  </si>
  <si>
    <t>[표1]</t>
  </si>
  <si>
    <t>상공컨벤션 예약 현황</t>
    <phoneticPr fontId="2" type="noConversion"/>
  </si>
  <si>
    <t>사원평가표</t>
    <phoneticPr fontId="2" type="noConversion"/>
  </si>
  <si>
    <t>예약코드</t>
    <phoneticPr fontId="2" type="noConversion"/>
  </si>
  <si>
    <t>예약인원</t>
    <phoneticPr fontId="2" type="noConversion"/>
  </si>
  <si>
    <t>할인율</t>
    <phoneticPr fontId="2" type="noConversion"/>
  </si>
  <si>
    <t>근태</t>
    <phoneticPr fontId="2" type="noConversion"/>
  </si>
  <si>
    <t>실적</t>
    <phoneticPr fontId="2" type="noConversion"/>
  </si>
  <si>
    <t>시험</t>
    <phoneticPr fontId="2" type="noConversion"/>
  </si>
  <si>
    <t>평가</t>
    <phoneticPr fontId="2" type="noConversion"/>
  </si>
  <si>
    <t>1-K-24</t>
    <phoneticPr fontId="2" type="noConversion"/>
  </si>
  <si>
    <t>이벤트</t>
    <phoneticPr fontId="2" type="noConversion"/>
  </si>
  <si>
    <t>최소희</t>
  </si>
  <si>
    <t>3-R-48</t>
    <phoneticPr fontId="2" type="noConversion"/>
  </si>
  <si>
    <t>세미나</t>
    <phoneticPr fontId="2" type="noConversion"/>
  </si>
  <si>
    <t>조채아</t>
  </si>
  <si>
    <t>1-R-72</t>
    <phoneticPr fontId="2" type="noConversion"/>
  </si>
  <si>
    <t>고아지</t>
  </si>
  <si>
    <t>3-K-18</t>
    <phoneticPr fontId="2" type="noConversion"/>
  </si>
  <si>
    <t>손호준</t>
    <phoneticPr fontId="2" type="noConversion"/>
  </si>
  <si>
    <t>1-R-39</t>
    <phoneticPr fontId="2" type="noConversion"/>
  </si>
  <si>
    <t>허은우</t>
  </si>
  <si>
    <t>1-K-88</t>
    <phoneticPr fontId="2" type="noConversion"/>
  </si>
  <si>
    <t>황지성</t>
    <phoneticPr fontId="2" type="noConversion"/>
  </si>
  <si>
    <t>3-K-62</t>
    <phoneticPr fontId="2" type="noConversion"/>
  </si>
  <si>
    <t>기업회의</t>
    <phoneticPr fontId="2" type="noConversion"/>
  </si>
  <si>
    <t>송도원</t>
  </si>
  <si>
    <t>3-R-90</t>
    <phoneticPr fontId="2" type="noConversion"/>
  </si>
  <si>
    <t>양주희</t>
    <phoneticPr fontId="2" type="noConversion"/>
  </si>
  <si>
    <t>1-K-55</t>
    <phoneticPr fontId="2" type="noConversion"/>
  </si>
  <si>
    <t>김성한</t>
    <phoneticPr fontId="2" type="noConversion"/>
  </si>
  <si>
    <t>일일 매출 현황</t>
    <phoneticPr fontId="2" type="noConversion"/>
  </si>
  <si>
    <t>&lt;평가기준표&gt;</t>
    <phoneticPr fontId="2" type="noConversion"/>
  </si>
  <si>
    <t>분류</t>
    <phoneticPr fontId="2" type="noConversion"/>
  </si>
  <si>
    <t>수량</t>
    <phoneticPr fontId="2" type="noConversion"/>
  </si>
  <si>
    <t>매출액</t>
    <phoneticPr fontId="2" type="noConversion"/>
  </si>
  <si>
    <t>순위</t>
    <phoneticPr fontId="2" type="noConversion"/>
  </si>
  <si>
    <t>생활용품</t>
    <phoneticPr fontId="2" type="noConversion"/>
  </si>
  <si>
    <t>종이컵</t>
    <phoneticPr fontId="2" type="noConversion"/>
  </si>
  <si>
    <t>사무용품</t>
    <phoneticPr fontId="2" type="noConversion"/>
  </si>
  <si>
    <t>포스트잇</t>
    <phoneticPr fontId="2" type="noConversion"/>
  </si>
  <si>
    <t>테이프</t>
    <phoneticPr fontId="2" type="noConversion"/>
  </si>
  <si>
    <t>가위</t>
    <phoneticPr fontId="2" type="noConversion"/>
  </si>
  <si>
    <t>물티슈</t>
    <phoneticPr fontId="2" type="noConversion"/>
  </si>
  <si>
    <t>화장지</t>
    <phoneticPr fontId="2" type="noConversion"/>
  </si>
  <si>
    <t>볼펜</t>
    <phoneticPr fontId="2" type="noConversion"/>
  </si>
  <si>
    <t>&lt;조건&gt;</t>
    <phoneticPr fontId="2" type="noConversion"/>
  </si>
  <si>
    <t>건전지</t>
    <phoneticPr fontId="2" type="noConversion"/>
  </si>
  <si>
    <t>사무용품 매출액 평균</t>
    <phoneticPr fontId="2" type="noConversion"/>
  </si>
  <si>
    <t>박스오피스</t>
    <phoneticPr fontId="2" type="noConversion"/>
  </si>
  <si>
    <t>자동차 정보</t>
    <phoneticPr fontId="2" type="noConversion"/>
  </si>
  <si>
    <t>(단위 : 만원)</t>
    <phoneticPr fontId="2" type="noConversion"/>
  </si>
  <si>
    <t>영화명</t>
    <phoneticPr fontId="2" type="noConversion"/>
  </si>
  <si>
    <t>등급</t>
    <phoneticPr fontId="2" type="noConversion"/>
  </si>
  <si>
    <t>관객수</t>
    <phoneticPr fontId="2" type="noConversion"/>
  </si>
  <si>
    <t>모델명</t>
    <phoneticPr fontId="2" type="noConversion"/>
  </si>
  <si>
    <t>연료</t>
    <phoneticPr fontId="2" type="noConversion"/>
  </si>
  <si>
    <t>연비</t>
    <phoneticPr fontId="2" type="noConversion"/>
  </si>
  <si>
    <t>가격</t>
    <phoneticPr fontId="2" type="noConversion"/>
  </si>
  <si>
    <t>극한도시</t>
    <phoneticPr fontId="2" type="noConversion"/>
  </si>
  <si>
    <t>15세 이상</t>
    <phoneticPr fontId="2" type="noConversion"/>
  </si>
  <si>
    <t>스타디아</t>
    <phoneticPr fontId="2" type="noConversion"/>
  </si>
  <si>
    <t>휘발유</t>
    <phoneticPr fontId="2" type="noConversion"/>
  </si>
  <si>
    <t>슈가보이</t>
    <phoneticPr fontId="2" type="noConversion"/>
  </si>
  <si>
    <t>전체</t>
    <phoneticPr fontId="2" type="noConversion"/>
  </si>
  <si>
    <t>카니윤</t>
    <phoneticPr fontId="2" type="noConversion"/>
  </si>
  <si>
    <t>경유</t>
    <phoneticPr fontId="2" type="noConversion"/>
  </si>
  <si>
    <t>신의정원</t>
    <phoneticPr fontId="2" type="noConversion"/>
  </si>
  <si>
    <t>크나</t>
    <phoneticPr fontId="2" type="noConversion"/>
  </si>
  <si>
    <t>전기</t>
    <phoneticPr fontId="2" type="noConversion"/>
  </si>
  <si>
    <t>스턴트</t>
    <phoneticPr fontId="2" type="noConversion"/>
  </si>
  <si>
    <t>아이오</t>
    <phoneticPr fontId="2" type="noConversion"/>
  </si>
  <si>
    <t>지구탈출</t>
    <phoneticPr fontId="2" type="noConversion"/>
  </si>
  <si>
    <t>12세 이상</t>
    <phoneticPr fontId="2" type="noConversion"/>
  </si>
  <si>
    <t>다나타</t>
    <phoneticPr fontId="2" type="noConversion"/>
  </si>
  <si>
    <t>더공조</t>
    <phoneticPr fontId="2" type="noConversion"/>
  </si>
  <si>
    <t>타싼</t>
    <phoneticPr fontId="2" type="noConversion"/>
  </si>
  <si>
    <t>분노의신</t>
    <phoneticPr fontId="2" type="noConversion"/>
  </si>
  <si>
    <t>아반스</t>
    <phoneticPr fontId="2" type="noConversion"/>
  </si>
  <si>
    <t>골드라인</t>
    <phoneticPr fontId="2" type="noConversion"/>
  </si>
  <si>
    <t>마티아</t>
    <phoneticPr fontId="2" type="noConversion"/>
  </si>
  <si>
    <t>연료가 휘발유인 자동차 중
연비가 가장 높은 모델명</t>
    <phoneticPr fontId="2" type="noConversion"/>
  </si>
  <si>
    <t>두남자</t>
    <phoneticPr fontId="2" type="noConversion"/>
  </si>
  <si>
    <t>투슬라</t>
    <phoneticPr fontId="2" type="noConversion"/>
  </si>
  <si>
    <t>관객수가 3,000,000 이상인 비율</t>
    <phoneticPr fontId="2" type="noConversion"/>
  </si>
  <si>
    <t>유리오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</si>
</sst>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9" formatCode="0.0_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0" fillId="0" borderId="1" xfId="0" applyBorder="1">
      <alignment vertical="center"/>
    </xf>
    <xf numFmtId="0" fontId="4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4" fillId="0" borderId="0" xfId="1" applyFont="1" applyBorder="1" applyAlignment="1"/>
    <xf numFmtId="41" fontId="7" fillId="0" borderId="0" xfId="1" applyFont="1">
      <alignment vertical="center"/>
    </xf>
    <xf numFmtId="41" fontId="0" fillId="0" borderId="0" xfId="1" applyFont="1">
      <alignment vertical="center"/>
    </xf>
    <xf numFmtId="41" fontId="6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8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2" applyFont="1" applyAlignment="1">
      <alignment horizontal="right" vertical="center"/>
    </xf>
    <xf numFmtId="0" fontId="10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3" fontId="9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9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2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9" fontId="0" fillId="0" borderId="1" xfId="4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5">
    <cellStyle name="백분율" xfId="4" builtinId="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차트작업!$B$4:$E$4</c:f>
              <c:numCache>
                <c:formatCode>#,##0</c:formatCode>
                <c:ptCount val="4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  <c:pt idx="3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6-43FA-B680-69777FAA62F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차트작업!$B$5:$E$5</c:f>
              <c:numCache>
                <c:formatCode>#,##0</c:formatCode>
                <c:ptCount val="4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  <c:pt idx="3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6-43FA-B680-69777FAA62FF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차트작업!$B$6:$E$6</c:f>
              <c:numCache>
                <c:formatCode>#,##0</c:formatCode>
                <c:ptCount val="4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  <c:pt idx="3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6-43FA-B680-69777FAA62FF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차트작업!$B$7:$E$7</c:f>
              <c:numCache>
                <c:formatCode>#,##0</c:formatCode>
                <c:ptCount val="4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  <c:pt idx="3">
                  <c:v>95102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C6-43FA-B680-69777FAA6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297088"/>
        <c:axId val="664282528"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E34158A-DEB8-4183-AD92-A90195E0B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dimension ref="A1:G8"/>
  <sheetViews>
    <sheetView workbookViewId="0">
      <selection activeCell="D5" sqref="D5"/>
    </sheetView>
  </sheetViews>
  <sheetFormatPr defaultRowHeight="17.399999999999999" x14ac:dyDescent="0.4"/>
  <cols>
    <col min="2" max="2" width="12.296875" bestFit="1" customWidth="1"/>
    <col min="4" max="4" width="10.69921875" bestFit="1" customWidth="1"/>
  </cols>
  <sheetData>
    <row r="1" spans="1:7" x14ac:dyDescent="0.4">
      <c r="A1" t="s">
        <v>60</v>
      </c>
    </row>
    <row r="3" spans="1:7" x14ac:dyDescent="0.4">
      <c r="A3" s="27"/>
      <c r="B3" s="27"/>
      <c r="C3" s="27"/>
      <c r="D3" s="27"/>
      <c r="E3" s="27"/>
      <c r="F3" s="27"/>
      <c r="G3" s="27"/>
    </row>
    <row r="4" spans="1:7" x14ac:dyDescent="0.4">
      <c r="A4" s="27"/>
      <c r="B4" s="27"/>
      <c r="C4" s="27"/>
      <c r="D4" s="28"/>
      <c r="E4" s="15"/>
      <c r="F4" s="15"/>
      <c r="G4" s="27"/>
    </row>
    <row r="5" spans="1:7" x14ac:dyDescent="0.4">
      <c r="A5" s="27"/>
      <c r="B5" s="27"/>
      <c r="C5" s="27"/>
      <c r="D5" s="28"/>
      <c r="E5" s="15"/>
      <c r="F5" s="15"/>
      <c r="G5" s="27"/>
    </row>
    <row r="6" spans="1:7" x14ac:dyDescent="0.4">
      <c r="A6" s="27"/>
      <c r="B6" s="27"/>
      <c r="C6" s="27"/>
      <c r="D6" s="28"/>
      <c r="E6" s="15"/>
      <c r="F6" s="15"/>
      <c r="G6" s="27"/>
    </row>
    <row r="7" spans="1:7" x14ac:dyDescent="0.4">
      <c r="A7" s="27"/>
      <c r="B7" s="27"/>
      <c r="C7" s="27"/>
      <c r="D7" s="28"/>
      <c r="E7" s="15"/>
      <c r="F7" s="15"/>
      <c r="G7" s="27"/>
    </row>
    <row r="8" spans="1:7" x14ac:dyDescent="0.4">
      <c r="A8" s="27"/>
      <c r="B8" s="27"/>
      <c r="C8" s="27"/>
      <c r="D8" s="28"/>
      <c r="E8" s="15"/>
      <c r="F8" s="15"/>
      <c r="G8" s="27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dimension ref="A1:F10"/>
  <sheetViews>
    <sheetView workbookViewId="0">
      <selection activeCell="B5" sqref="B5"/>
    </sheetView>
  </sheetViews>
  <sheetFormatPr defaultRowHeight="17.399999999999999" x14ac:dyDescent="0.4"/>
  <cols>
    <col min="1" max="1" width="12.296875" bestFit="1" customWidth="1"/>
    <col min="2" max="2" width="23.59765625" customWidth="1"/>
    <col min="3" max="3" width="11.09765625" bestFit="1" customWidth="1"/>
  </cols>
  <sheetData>
    <row r="1" spans="1:6" x14ac:dyDescent="0.4">
      <c r="A1" t="s">
        <v>61</v>
      </c>
    </row>
    <row r="3" spans="1:6" x14ac:dyDescent="0.4">
      <c r="A3" s="27" t="s">
        <v>62</v>
      </c>
      <c r="B3" s="27" t="s">
        <v>63</v>
      </c>
      <c r="C3" s="27" t="s">
        <v>64</v>
      </c>
      <c r="D3" s="27" t="s">
        <v>65</v>
      </c>
      <c r="E3" s="27" t="s">
        <v>66</v>
      </c>
      <c r="F3" s="27" t="s">
        <v>67</v>
      </c>
    </row>
    <row r="4" spans="1:6" x14ac:dyDescent="0.4">
      <c r="A4" s="27" t="s">
        <v>68</v>
      </c>
      <c r="B4" s="28">
        <v>36923</v>
      </c>
      <c r="C4" s="27" t="s">
        <v>69</v>
      </c>
      <c r="D4">
        <v>57381</v>
      </c>
      <c r="E4" s="27">
        <v>1.65</v>
      </c>
      <c r="F4">
        <v>524587</v>
      </c>
    </row>
    <row r="5" spans="1:6" x14ac:dyDescent="0.4">
      <c r="A5" s="27" t="s">
        <v>70</v>
      </c>
      <c r="B5" s="28">
        <v>34977</v>
      </c>
      <c r="C5" s="27" t="s">
        <v>71</v>
      </c>
      <c r="D5">
        <v>63149</v>
      </c>
      <c r="E5" s="27">
        <v>0.92</v>
      </c>
      <c r="F5">
        <v>468014</v>
      </c>
    </row>
    <row r="6" spans="1:6" x14ac:dyDescent="0.4">
      <c r="A6" s="27" t="s">
        <v>72</v>
      </c>
      <c r="B6" s="28">
        <v>35919</v>
      </c>
      <c r="C6" s="27" t="s">
        <v>73</v>
      </c>
      <c r="D6">
        <v>43682</v>
      </c>
      <c r="E6" s="27">
        <v>1.18</v>
      </c>
      <c r="F6">
        <v>738992</v>
      </c>
    </row>
    <row r="7" spans="1:6" x14ac:dyDescent="0.4">
      <c r="A7" s="27" t="s">
        <v>74</v>
      </c>
      <c r="B7" s="28">
        <v>41376</v>
      </c>
      <c r="C7" s="27" t="s">
        <v>75</v>
      </c>
      <c r="D7">
        <v>50075</v>
      </c>
      <c r="E7" s="27">
        <v>1.27</v>
      </c>
      <c r="F7">
        <v>506347</v>
      </c>
    </row>
    <row r="8" spans="1:6" x14ac:dyDescent="0.4">
      <c r="A8" s="27" t="s">
        <v>76</v>
      </c>
      <c r="B8" s="28">
        <v>38598</v>
      </c>
      <c r="C8" s="27" t="s">
        <v>77</v>
      </c>
      <c r="D8">
        <v>43908</v>
      </c>
      <c r="E8" s="27">
        <v>1.52</v>
      </c>
      <c r="F8">
        <v>313363</v>
      </c>
    </row>
    <row r="9" spans="1:6" x14ac:dyDescent="0.4">
      <c r="A9" s="27" t="s">
        <v>78</v>
      </c>
      <c r="B9" s="28">
        <v>39619</v>
      </c>
      <c r="C9" s="27" t="s">
        <v>79</v>
      </c>
      <c r="D9">
        <v>49381</v>
      </c>
      <c r="E9" s="27">
        <v>1.49</v>
      </c>
      <c r="F9">
        <v>638245</v>
      </c>
    </row>
    <row r="10" spans="1:6" x14ac:dyDescent="0.4">
      <c r="A10" s="27" t="s">
        <v>80</v>
      </c>
      <c r="B10" s="28">
        <v>37956</v>
      </c>
      <c r="C10" s="27" t="s">
        <v>81</v>
      </c>
      <c r="D10">
        <v>56317</v>
      </c>
      <c r="E10" s="27">
        <v>1.28</v>
      </c>
      <c r="F10">
        <v>525397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dimension ref="A1:F15"/>
  <sheetViews>
    <sheetView workbookViewId="0">
      <selection activeCell="E6" sqref="E6"/>
    </sheetView>
  </sheetViews>
  <sheetFormatPr defaultRowHeight="17.399999999999999" x14ac:dyDescent="0.4"/>
  <cols>
    <col min="1" max="1" width="11.59765625" customWidth="1"/>
    <col min="2" max="2" width="12.59765625" customWidth="1"/>
    <col min="6" max="6" width="13.59765625" customWidth="1"/>
  </cols>
  <sheetData>
    <row r="1" spans="1:6" ht="21" x14ac:dyDescent="0.4">
      <c r="A1" s="29" t="s">
        <v>82</v>
      </c>
      <c r="B1" s="29"/>
      <c r="C1" s="29"/>
      <c r="D1" s="29"/>
      <c r="E1" s="29"/>
      <c r="F1" s="29"/>
    </row>
    <row r="3" spans="1:6" x14ac:dyDescent="0.4">
      <c r="A3" s="6" t="s">
        <v>83</v>
      </c>
      <c r="B3" s="6" t="s">
        <v>84</v>
      </c>
      <c r="C3" s="6" t="s">
        <v>85</v>
      </c>
      <c r="D3" s="6" t="s">
        <v>86</v>
      </c>
      <c r="E3" s="6" t="s">
        <v>87</v>
      </c>
      <c r="F3" s="6" t="s">
        <v>88</v>
      </c>
    </row>
    <row r="4" spans="1:6" x14ac:dyDescent="0.4">
      <c r="A4" s="6" t="s">
        <v>89</v>
      </c>
      <c r="B4" s="30">
        <v>45383</v>
      </c>
      <c r="C4" s="7">
        <v>1000</v>
      </c>
      <c r="D4" s="7">
        <v>836</v>
      </c>
      <c r="E4" s="7">
        <v>4200</v>
      </c>
      <c r="F4" s="7">
        <f>D4*E4</f>
        <v>3511200</v>
      </c>
    </row>
    <row r="5" spans="1:6" x14ac:dyDescent="0.4">
      <c r="A5" s="6" t="s">
        <v>90</v>
      </c>
      <c r="B5" s="30">
        <v>45384</v>
      </c>
      <c r="C5" s="7">
        <v>650</v>
      </c>
      <c r="D5" s="7">
        <v>524</v>
      </c>
      <c r="E5" s="7">
        <v>9900</v>
      </c>
      <c r="F5" s="7">
        <f t="shared" ref="F5:F15" si="0">D5*E5</f>
        <v>5187600</v>
      </c>
    </row>
    <row r="6" spans="1:6" x14ac:dyDescent="0.4">
      <c r="A6" s="6" t="s">
        <v>91</v>
      </c>
      <c r="B6" s="30">
        <v>45385</v>
      </c>
      <c r="C6" s="7">
        <v>400</v>
      </c>
      <c r="D6" s="7">
        <v>392</v>
      </c>
      <c r="E6" s="7">
        <v>12000</v>
      </c>
      <c r="F6" s="7">
        <f t="shared" si="0"/>
        <v>4704000</v>
      </c>
    </row>
    <row r="7" spans="1:6" x14ac:dyDescent="0.4">
      <c r="A7" s="6" t="s">
        <v>92</v>
      </c>
      <c r="B7" s="30">
        <v>45386</v>
      </c>
      <c r="C7" s="7">
        <v>1550</v>
      </c>
      <c r="D7" s="7">
        <v>1499</v>
      </c>
      <c r="E7" s="7">
        <v>7000</v>
      </c>
      <c r="F7" s="7">
        <f t="shared" si="0"/>
        <v>10493000</v>
      </c>
    </row>
    <row r="8" spans="1:6" x14ac:dyDescent="0.4">
      <c r="A8" s="6" t="s">
        <v>93</v>
      </c>
      <c r="B8" s="30">
        <v>45387</v>
      </c>
      <c r="C8" s="7">
        <v>300</v>
      </c>
      <c r="D8" s="7">
        <v>236</v>
      </c>
      <c r="E8" s="7">
        <v>11500</v>
      </c>
      <c r="F8" s="7">
        <f t="shared" si="0"/>
        <v>2714000</v>
      </c>
    </row>
    <row r="9" spans="1:6" x14ac:dyDescent="0.4">
      <c r="A9" s="6" t="s">
        <v>94</v>
      </c>
      <c r="B9" s="30">
        <v>45388</v>
      </c>
      <c r="C9" s="7">
        <v>800</v>
      </c>
      <c r="D9" s="7">
        <v>786</v>
      </c>
      <c r="E9" s="7">
        <v>4480</v>
      </c>
      <c r="F9" s="7">
        <f t="shared" si="0"/>
        <v>3521280</v>
      </c>
    </row>
    <row r="10" spans="1:6" x14ac:dyDescent="0.4">
      <c r="A10" s="6" t="s">
        <v>95</v>
      </c>
      <c r="B10" s="30">
        <v>45389</v>
      </c>
      <c r="C10" s="7">
        <v>250</v>
      </c>
      <c r="D10" s="7">
        <v>192</v>
      </c>
      <c r="E10" s="7">
        <v>13600</v>
      </c>
      <c r="F10" s="7">
        <f t="shared" si="0"/>
        <v>2611200</v>
      </c>
    </row>
    <row r="11" spans="1:6" x14ac:dyDescent="0.4">
      <c r="A11" s="6" t="s">
        <v>96</v>
      </c>
      <c r="B11" s="30">
        <v>45390</v>
      </c>
      <c r="C11" s="7">
        <v>150</v>
      </c>
      <c r="D11" s="7">
        <v>106</v>
      </c>
      <c r="E11" s="7">
        <v>23500</v>
      </c>
      <c r="F11" s="7">
        <f t="shared" si="0"/>
        <v>2491000</v>
      </c>
    </row>
    <row r="12" spans="1:6" x14ac:dyDescent="0.4">
      <c r="A12" s="6" t="s">
        <v>97</v>
      </c>
      <c r="B12" s="30">
        <v>45391</v>
      </c>
      <c r="C12" s="7">
        <v>200</v>
      </c>
      <c r="D12" s="7">
        <v>149</v>
      </c>
      <c r="E12" s="7">
        <v>32600</v>
      </c>
      <c r="F12" s="7">
        <f t="shared" si="0"/>
        <v>4857400</v>
      </c>
    </row>
    <row r="13" spans="1:6" x14ac:dyDescent="0.4">
      <c r="A13" s="6" t="s">
        <v>98</v>
      </c>
      <c r="B13" s="30">
        <v>45392</v>
      </c>
      <c r="C13" s="7">
        <v>300</v>
      </c>
      <c r="D13" s="7">
        <v>276</v>
      </c>
      <c r="E13" s="7">
        <v>15900</v>
      </c>
      <c r="F13" s="7">
        <f t="shared" si="0"/>
        <v>4388400</v>
      </c>
    </row>
    <row r="14" spans="1:6" x14ac:dyDescent="0.4">
      <c r="A14" s="6" t="s">
        <v>99</v>
      </c>
      <c r="B14" s="30">
        <v>45393</v>
      </c>
      <c r="C14" s="7">
        <v>450</v>
      </c>
      <c r="D14" s="7">
        <v>429</v>
      </c>
      <c r="E14" s="7">
        <v>9800</v>
      </c>
      <c r="F14" s="7">
        <f t="shared" si="0"/>
        <v>4204200</v>
      </c>
    </row>
    <row r="15" spans="1:6" x14ac:dyDescent="0.4">
      <c r="A15" s="6" t="s">
        <v>100</v>
      </c>
      <c r="B15" s="30">
        <v>45394</v>
      </c>
      <c r="C15" s="7">
        <v>350</v>
      </c>
      <c r="D15" s="7">
        <v>331</v>
      </c>
      <c r="E15" s="7">
        <v>11600</v>
      </c>
      <c r="F15" s="7">
        <f t="shared" si="0"/>
        <v>3839600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dimension ref="A1:L36"/>
  <sheetViews>
    <sheetView tabSelected="1" workbookViewId="0">
      <selection activeCell="D5" sqref="D5"/>
    </sheetView>
  </sheetViews>
  <sheetFormatPr defaultRowHeight="17.399999999999999" x14ac:dyDescent="0.4"/>
  <cols>
    <col min="2" max="2" width="10.69921875" bestFit="1" customWidth="1"/>
    <col min="4" max="4" width="10.59765625" bestFit="1" customWidth="1"/>
    <col min="9" max="9" width="8.69921875" customWidth="1"/>
  </cols>
  <sheetData>
    <row r="1" spans="1:11" x14ac:dyDescent="0.4">
      <c r="A1" s="31" t="s">
        <v>101</v>
      </c>
      <c r="B1" s="32" t="s">
        <v>102</v>
      </c>
      <c r="F1" s="31" t="s">
        <v>3</v>
      </c>
      <c r="G1" s="32" t="s">
        <v>103</v>
      </c>
    </row>
    <row r="2" spans="1:11" x14ac:dyDescent="0.4">
      <c r="A2" s="6" t="s">
        <v>104</v>
      </c>
      <c r="B2" s="6" t="s">
        <v>49</v>
      </c>
      <c r="C2" s="6" t="s">
        <v>105</v>
      </c>
      <c r="D2" s="33" t="s">
        <v>106</v>
      </c>
      <c r="F2" s="6" t="s">
        <v>1</v>
      </c>
      <c r="G2" s="6" t="s">
        <v>107</v>
      </c>
      <c r="H2" s="6" t="s">
        <v>108</v>
      </c>
      <c r="I2" s="6" t="s">
        <v>109</v>
      </c>
      <c r="J2" s="6" t="s">
        <v>42</v>
      </c>
      <c r="K2" s="33" t="s">
        <v>110</v>
      </c>
    </row>
    <row r="3" spans="1:11" x14ac:dyDescent="0.4">
      <c r="A3" s="6" t="s">
        <v>111</v>
      </c>
      <c r="B3" s="6" t="s">
        <v>112</v>
      </c>
      <c r="C3" s="6">
        <v>120</v>
      </c>
      <c r="D3" s="6"/>
      <c r="F3" s="6" t="s">
        <v>113</v>
      </c>
      <c r="G3" s="6">
        <v>82</v>
      </c>
      <c r="H3" s="6">
        <v>94</v>
      </c>
      <c r="I3" s="6">
        <v>86</v>
      </c>
      <c r="J3" s="6">
        <f>SUM(G3:I3)</f>
        <v>262</v>
      </c>
      <c r="K3" s="6"/>
    </row>
    <row r="4" spans="1:11" x14ac:dyDescent="0.4">
      <c r="A4" s="6" t="s">
        <v>114</v>
      </c>
      <c r="B4" s="6" t="s">
        <v>115</v>
      </c>
      <c r="C4" s="6">
        <v>100</v>
      </c>
      <c r="D4" s="6"/>
      <c r="F4" s="6" t="s">
        <v>116</v>
      </c>
      <c r="G4" s="6">
        <v>69</v>
      </c>
      <c r="H4" s="6">
        <v>88</v>
      </c>
      <c r="I4" s="6">
        <v>62</v>
      </c>
      <c r="J4" s="6">
        <f t="shared" ref="J4:J11" si="0">SUM(G4:I4)</f>
        <v>219</v>
      </c>
      <c r="K4" s="6"/>
    </row>
    <row r="5" spans="1:11" x14ac:dyDescent="0.4">
      <c r="A5" s="6" t="s">
        <v>117</v>
      </c>
      <c r="B5" s="6" t="s">
        <v>112</v>
      </c>
      <c r="C5" s="6">
        <v>150</v>
      </c>
      <c r="D5" s="6"/>
      <c r="F5" s="6" t="s">
        <v>118</v>
      </c>
      <c r="G5" s="6">
        <v>91</v>
      </c>
      <c r="H5" s="6">
        <v>95</v>
      </c>
      <c r="I5" s="6">
        <v>97</v>
      </c>
      <c r="J5" s="6">
        <f t="shared" si="0"/>
        <v>283</v>
      </c>
      <c r="K5" s="6"/>
    </row>
    <row r="6" spans="1:11" x14ac:dyDescent="0.4">
      <c r="A6" s="6" t="s">
        <v>119</v>
      </c>
      <c r="B6" s="6" t="s">
        <v>112</v>
      </c>
      <c r="C6" s="6">
        <v>180</v>
      </c>
      <c r="D6" s="6"/>
      <c r="F6" s="6" t="s">
        <v>120</v>
      </c>
      <c r="G6" s="6">
        <v>80</v>
      </c>
      <c r="H6" s="6">
        <v>70</v>
      </c>
      <c r="I6" s="6">
        <v>79</v>
      </c>
      <c r="J6" s="6">
        <f t="shared" si="0"/>
        <v>229</v>
      </c>
      <c r="K6" s="6"/>
    </row>
    <row r="7" spans="1:11" x14ac:dyDescent="0.4">
      <c r="A7" s="6" t="s">
        <v>121</v>
      </c>
      <c r="B7" s="6" t="s">
        <v>115</v>
      </c>
      <c r="C7" s="6">
        <v>130</v>
      </c>
      <c r="D7" s="6"/>
      <c r="F7" s="6" t="s">
        <v>122</v>
      </c>
      <c r="G7" s="6">
        <v>77</v>
      </c>
      <c r="H7" s="6">
        <v>71</v>
      </c>
      <c r="I7" s="6">
        <v>69</v>
      </c>
      <c r="J7" s="6">
        <f t="shared" si="0"/>
        <v>217</v>
      </c>
      <c r="K7" s="6"/>
    </row>
    <row r="8" spans="1:11" x14ac:dyDescent="0.4">
      <c r="A8" s="6" t="s">
        <v>123</v>
      </c>
      <c r="B8" s="6" t="s">
        <v>115</v>
      </c>
      <c r="C8" s="6">
        <v>120</v>
      </c>
      <c r="D8" s="6"/>
      <c r="F8" s="6" t="s">
        <v>124</v>
      </c>
      <c r="G8" s="6">
        <v>96</v>
      </c>
      <c r="H8" s="6">
        <v>93</v>
      </c>
      <c r="I8" s="6">
        <v>95</v>
      </c>
      <c r="J8" s="6">
        <f t="shared" si="0"/>
        <v>284</v>
      </c>
      <c r="K8" s="6"/>
    </row>
    <row r="9" spans="1:11" x14ac:dyDescent="0.4">
      <c r="A9" s="6" t="s">
        <v>125</v>
      </c>
      <c r="B9" s="6" t="s">
        <v>126</v>
      </c>
      <c r="C9" s="6">
        <v>160</v>
      </c>
      <c r="D9" s="6"/>
      <c r="F9" s="6" t="s">
        <v>127</v>
      </c>
      <c r="G9" s="6">
        <v>84</v>
      </c>
      <c r="H9" s="6">
        <v>88</v>
      </c>
      <c r="I9" s="6">
        <v>91</v>
      </c>
      <c r="J9" s="6">
        <f t="shared" si="0"/>
        <v>263</v>
      </c>
      <c r="K9" s="6"/>
    </row>
    <row r="10" spans="1:11" x14ac:dyDescent="0.4">
      <c r="A10" s="6" t="s">
        <v>128</v>
      </c>
      <c r="B10" s="6" t="s">
        <v>126</v>
      </c>
      <c r="C10" s="6">
        <v>150</v>
      </c>
      <c r="D10" s="6"/>
      <c r="F10" s="6" t="s">
        <v>129</v>
      </c>
      <c r="G10" s="6">
        <v>94</v>
      </c>
      <c r="H10" s="6">
        <v>90</v>
      </c>
      <c r="I10" s="6">
        <v>90</v>
      </c>
      <c r="J10" s="6">
        <f t="shared" si="0"/>
        <v>274</v>
      </c>
      <c r="K10" s="6"/>
    </row>
    <row r="11" spans="1:11" x14ac:dyDescent="0.4">
      <c r="A11" s="6" t="s">
        <v>130</v>
      </c>
      <c r="B11" s="6" t="s">
        <v>115</v>
      </c>
      <c r="C11" s="6">
        <v>180</v>
      </c>
      <c r="D11" s="6"/>
      <c r="F11" s="6" t="s">
        <v>131</v>
      </c>
      <c r="G11" s="6">
        <v>86</v>
      </c>
      <c r="H11" s="6">
        <v>84</v>
      </c>
      <c r="I11" s="6">
        <v>87</v>
      </c>
      <c r="J11" s="6">
        <f t="shared" si="0"/>
        <v>257</v>
      </c>
      <c r="K11" s="6"/>
    </row>
    <row r="13" spans="1:11" x14ac:dyDescent="0.4">
      <c r="A13" s="31" t="s">
        <v>6</v>
      </c>
      <c r="B13" s="32" t="s">
        <v>132</v>
      </c>
      <c r="F13" t="s">
        <v>133</v>
      </c>
    </row>
    <row r="14" spans="1:11" x14ac:dyDescent="0.4">
      <c r="A14" s="6" t="s">
        <v>134</v>
      </c>
      <c r="B14" s="6" t="s">
        <v>83</v>
      </c>
      <c r="C14" s="6" t="s">
        <v>135</v>
      </c>
      <c r="D14" s="6" t="s">
        <v>136</v>
      </c>
      <c r="F14" s="6" t="s">
        <v>137</v>
      </c>
      <c r="G14" s="6">
        <v>1</v>
      </c>
      <c r="H14" s="6">
        <v>4</v>
      </c>
      <c r="I14" s="6">
        <v>6</v>
      </c>
      <c r="J14" s="6">
        <v>8</v>
      </c>
    </row>
    <row r="15" spans="1:11" x14ac:dyDescent="0.4">
      <c r="A15" s="6" t="s">
        <v>138</v>
      </c>
      <c r="B15" s="6" t="s">
        <v>139</v>
      </c>
      <c r="C15" s="6">
        <v>23</v>
      </c>
      <c r="D15" s="7">
        <v>41400</v>
      </c>
      <c r="F15" s="6" t="s">
        <v>110</v>
      </c>
      <c r="G15" s="6" t="s">
        <v>12</v>
      </c>
      <c r="H15" s="6" t="s">
        <v>11</v>
      </c>
      <c r="I15" s="6" t="s">
        <v>10</v>
      </c>
      <c r="J15" s="6" t="s">
        <v>9</v>
      </c>
    </row>
    <row r="16" spans="1:11" x14ac:dyDescent="0.4">
      <c r="A16" s="6" t="s">
        <v>140</v>
      </c>
      <c r="B16" s="6" t="s">
        <v>141</v>
      </c>
      <c r="C16" s="6">
        <v>37</v>
      </c>
      <c r="D16" s="7">
        <v>74000</v>
      </c>
    </row>
    <row r="17" spans="1:9" x14ac:dyDescent="0.4">
      <c r="A17" s="6" t="s">
        <v>140</v>
      </c>
      <c r="B17" s="6" t="s">
        <v>142</v>
      </c>
      <c r="C17" s="6">
        <v>51</v>
      </c>
      <c r="D17" s="7">
        <v>84150</v>
      </c>
    </row>
    <row r="18" spans="1:9" x14ac:dyDescent="0.4">
      <c r="A18" s="6" t="s">
        <v>140</v>
      </c>
      <c r="B18" s="6" t="s">
        <v>143</v>
      </c>
      <c r="C18" s="6">
        <v>19</v>
      </c>
      <c r="D18" s="7">
        <v>23750</v>
      </c>
    </row>
    <row r="19" spans="1:9" x14ac:dyDescent="0.4">
      <c r="A19" s="6" t="s">
        <v>138</v>
      </c>
      <c r="B19" s="6" t="s">
        <v>144</v>
      </c>
      <c r="C19" s="6">
        <v>34</v>
      </c>
      <c r="D19" s="7">
        <v>74800</v>
      </c>
    </row>
    <row r="20" spans="1:9" x14ac:dyDescent="0.4">
      <c r="A20" s="6" t="s">
        <v>138</v>
      </c>
      <c r="B20" s="6" t="s">
        <v>145</v>
      </c>
      <c r="C20" s="6">
        <v>22</v>
      </c>
      <c r="D20" s="7">
        <v>79200</v>
      </c>
    </row>
    <row r="21" spans="1:9" x14ac:dyDescent="0.4">
      <c r="A21" s="6" t="s">
        <v>140</v>
      </c>
      <c r="B21" s="6" t="s">
        <v>146</v>
      </c>
      <c r="C21" s="6">
        <v>65</v>
      </c>
      <c r="D21" s="7">
        <v>71500</v>
      </c>
      <c r="F21" s="27" t="s">
        <v>147</v>
      </c>
    </row>
    <row r="22" spans="1:9" x14ac:dyDescent="0.4">
      <c r="A22" s="6" t="s">
        <v>138</v>
      </c>
      <c r="B22" s="6" t="s">
        <v>148</v>
      </c>
      <c r="C22" s="6">
        <v>24</v>
      </c>
      <c r="D22" s="7">
        <v>84000</v>
      </c>
      <c r="F22" s="6"/>
    </row>
    <row r="23" spans="1:9" x14ac:dyDescent="0.4">
      <c r="A23" s="34" t="s">
        <v>149</v>
      </c>
      <c r="B23" s="35"/>
      <c r="C23" s="36"/>
      <c r="D23" s="7"/>
      <c r="F23" s="6"/>
    </row>
    <row r="25" spans="1:9" x14ac:dyDescent="0.4">
      <c r="A25" s="31" t="s">
        <v>14</v>
      </c>
      <c r="B25" s="32" t="s">
        <v>150</v>
      </c>
      <c r="F25" s="31" t="s">
        <v>15</v>
      </c>
      <c r="G25" s="32" t="s">
        <v>151</v>
      </c>
      <c r="I25" s="1" t="s">
        <v>152</v>
      </c>
    </row>
    <row r="26" spans="1:9" x14ac:dyDescent="0.4">
      <c r="A26" s="6" t="s">
        <v>153</v>
      </c>
      <c r="B26" s="6" t="s">
        <v>154</v>
      </c>
      <c r="C26" s="6" t="s">
        <v>8</v>
      </c>
      <c r="D26" s="6" t="s">
        <v>155</v>
      </c>
      <c r="F26" s="6" t="s">
        <v>156</v>
      </c>
      <c r="G26" s="6" t="s">
        <v>157</v>
      </c>
      <c r="H26" s="6" t="s">
        <v>158</v>
      </c>
      <c r="I26" s="6" t="s">
        <v>159</v>
      </c>
    </row>
    <row r="27" spans="1:9" x14ac:dyDescent="0.4">
      <c r="A27" s="6" t="s">
        <v>160</v>
      </c>
      <c r="B27" s="6" t="s">
        <v>161</v>
      </c>
      <c r="C27" s="6">
        <v>8.1</v>
      </c>
      <c r="D27" s="7">
        <v>2524124</v>
      </c>
      <c r="F27" s="6" t="s">
        <v>162</v>
      </c>
      <c r="G27" s="6" t="s">
        <v>163</v>
      </c>
      <c r="H27" s="6">
        <v>12.4</v>
      </c>
      <c r="I27" s="37">
        <v>3650</v>
      </c>
    </row>
    <row r="28" spans="1:9" x14ac:dyDescent="0.4">
      <c r="A28" s="6" t="s">
        <v>164</v>
      </c>
      <c r="B28" s="6" t="s">
        <v>165</v>
      </c>
      <c r="C28" s="6">
        <v>6.7</v>
      </c>
      <c r="D28" s="7">
        <v>1835991</v>
      </c>
      <c r="F28" s="6" t="s">
        <v>166</v>
      </c>
      <c r="G28" s="6" t="s">
        <v>167</v>
      </c>
      <c r="H28" s="6">
        <v>13.8</v>
      </c>
      <c r="I28" s="37">
        <v>4210</v>
      </c>
    </row>
    <row r="29" spans="1:9" x14ac:dyDescent="0.4">
      <c r="A29" s="6" t="s">
        <v>168</v>
      </c>
      <c r="B29" s="6" t="s">
        <v>165</v>
      </c>
      <c r="C29" s="6">
        <v>8.8000000000000007</v>
      </c>
      <c r="D29" s="7">
        <v>3365725</v>
      </c>
      <c r="F29" s="6" t="s">
        <v>169</v>
      </c>
      <c r="G29" s="6" t="s">
        <v>170</v>
      </c>
      <c r="H29" s="6">
        <v>14.2</v>
      </c>
      <c r="I29" s="37">
        <v>5100</v>
      </c>
    </row>
    <row r="30" spans="1:9" x14ac:dyDescent="0.4">
      <c r="A30" s="6" t="s">
        <v>171</v>
      </c>
      <c r="B30" s="6" t="s">
        <v>161</v>
      </c>
      <c r="C30" s="6">
        <v>9.4</v>
      </c>
      <c r="D30" s="7">
        <v>6189472</v>
      </c>
      <c r="F30" s="6" t="s">
        <v>172</v>
      </c>
      <c r="G30" s="6" t="s">
        <v>170</v>
      </c>
      <c r="H30" s="6">
        <v>12.5</v>
      </c>
      <c r="I30" s="37">
        <v>4980</v>
      </c>
    </row>
    <row r="31" spans="1:9" x14ac:dyDescent="0.4">
      <c r="A31" s="6" t="s">
        <v>173</v>
      </c>
      <c r="B31" s="6" t="s">
        <v>174</v>
      </c>
      <c r="C31" s="6">
        <v>7.1</v>
      </c>
      <c r="D31" s="7">
        <v>1365543</v>
      </c>
      <c r="F31" s="6" t="s">
        <v>175</v>
      </c>
      <c r="G31" s="6" t="s">
        <v>163</v>
      </c>
      <c r="H31" s="6">
        <v>11.8</v>
      </c>
      <c r="I31" s="37">
        <v>3250</v>
      </c>
    </row>
    <row r="32" spans="1:9" x14ac:dyDescent="0.4">
      <c r="A32" s="6" t="s">
        <v>176</v>
      </c>
      <c r="B32" s="6" t="s">
        <v>165</v>
      </c>
      <c r="C32" s="6">
        <v>8.5</v>
      </c>
      <c r="D32" s="7">
        <v>5395001</v>
      </c>
      <c r="F32" s="6" t="s">
        <v>177</v>
      </c>
      <c r="G32" s="6" t="s">
        <v>167</v>
      </c>
      <c r="H32" s="6">
        <v>12.5</v>
      </c>
      <c r="I32" s="37">
        <v>2880</v>
      </c>
    </row>
    <row r="33" spans="1:12" x14ac:dyDescent="0.4">
      <c r="A33" s="6" t="s">
        <v>178</v>
      </c>
      <c r="B33" s="6" t="s">
        <v>161</v>
      </c>
      <c r="C33" s="6">
        <v>8.1</v>
      </c>
      <c r="D33" s="7">
        <v>2654872</v>
      </c>
      <c r="F33" s="6" t="s">
        <v>179</v>
      </c>
      <c r="G33" s="6" t="s">
        <v>163</v>
      </c>
      <c r="H33" s="6">
        <v>14.3</v>
      </c>
      <c r="I33" s="37">
        <v>4670</v>
      </c>
    </row>
    <row r="34" spans="1:12" x14ac:dyDescent="0.4">
      <c r="A34" s="6" t="s">
        <v>180</v>
      </c>
      <c r="B34" s="6" t="s">
        <v>174</v>
      </c>
      <c r="C34" s="6">
        <v>7.5</v>
      </c>
      <c r="D34" s="7">
        <v>2204589</v>
      </c>
      <c r="F34" s="6" t="s">
        <v>181</v>
      </c>
      <c r="G34" s="6" t="s">
        <v>167</v>
      </c>
      <c r="H34" s="6">
        <v>15.2</v>
      </c>
      <c r="I34" s="37">
        <v>2260</v>
      </c>
      <c r="J34" s="38" t="s">
        <v>182</v>
      </c>
      <c r="K34" s="39"/>
      <c r="L34" s="39"/>
    </row>
    <row r="35" spans="1:12" x14ac:dyDescent="0.4">
      <c r="A35" s="6" t="s">
        <v>183</v>
      </c>
      <c r="B35" s="6" t="s">
        <v>165</v>
      </c>
      <c r="C35" s="6">
        <v>92</v>
      </c>
      <c r="D35" s="7">
        <v>1854204</v>
      </c>
      <c r="F35" s="6" t="s">
        <v>184</v>
      </c>
      <c r="G35" s="6" t="s">
        <v>170</v>
      </c>
      <c r="H35" s="6">
        <v>11.4</v>
      </c>
      <c r="I35" s="37">
        <v>4840</v>
      </c>
      <c r="J35" s="39"/>
      <c r="K35" s="39"/>
      <c r="L35" s="39"/>
    </row>
    <row r="36" spans="1:12" x14ac:dyDescent="0.4">
      <c r="A36" s="34" t="s">
        <v>185</v>
      </c>
      <c r="B36" s="35"/>
      <c r="C36" s="36"/>
      <c r="D36" s="40"/>
      <c r="F36" s="6" t="s">
        <v>186</v>
      </c>
      <c r="G36" s="6" t="s">
        <v>163</v>
      </c>
      <c r="H36" s="6">
        <v>12.7</v>
      </c>
      <c r="I36" s="37">
        <v>4190</v>
      </c>
      <c r="J36" s="41"/>
      <c r="K36" s="41"/>
      <c r="L36" s="41"/>
    </row>
  </sheetData>
  <mergeCells count="4">
    <mergeCell ref="A23:C23"/>
    <mergeCell ref="J34:L35"/>
    <mergeCell ref="A36:C36"/>
    <mergeCell ref="J36:L3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dimension ref="A1:F13"/>
  <sheetViews>
    <sheetView workbookViewId="0"/>
  </sheetViews>
  <sheetFormatPr defaultRowHeight="17.399999999999999" x14ac:dyDescent="0.4"/>
  <cols>
    <col min="1" max="1" width="14.19921875" customWidth="1"/>
    <col min="2" max="2" width="12.19921875" customWidth="1"/>
    <col min="3" max="3" width="13.3984375" bestFit="1" customWidth="1"/>
    <col min="4" max="4" width="12.19921875" customWidth="1"/>
    <col min="5" max="5" width="13.09765625" customWidth="1"/>
    <col min="6" max="6" width="13.8984375" customWidth="1"/>
  </cols>
  <sheetData>
    <row r="1" spans="1:6" ht="25.2" x14ac:dyDescent="0.4">
      <c r="A1" s="11" t="s">
        <v>16</v>
      </c>
      <c r="B1" s="11"/>
      <c r="C1" s="11"/>
      <c r="D1" s="11"/>
      <c r="E1" s="11"/>
      <c r="F1" s="11"/>
    </row>
    <row r="2" spans="1:6" x14ac:dyDescent="0.4">
      <c r="A2" s="3"/>
      <c r="B2" s="3"/>
      <c r="C2" s="3"/>
      <c r="D2" s="3"/>
      <c r="E2" s="3"/>
    </row>
    <row r="3" spans="1:6" x14ac:dyDescent="0.4">
      <c r="A3" s="5" t="s">
        <v>7</v>
      </c>
      <c r="B3" s="5" t="s">
        <v>4</v>
      </c>
      <c r="C3" s="5" t="s">
        <v>0</v>
      </c>
      <c r="D3" s="5" t="s">
        <v>17</v>
      </c>
      <c r="E3" s="5" t="s">
        <v>18</v>
      </c>
      <c r="F3" s="5" t="s">
        <v>2</v>
      </c>
    </row>
    <row r="4" spans="1:6" x14ac:dyDescent="0.4">
      <c r="A4" s="12" t="s">
        <v>19</v>
      </c>
      <c r="B4" s="6" t="s">
        <v>20</v>
      </c>
      <c r="C4" s="7">
        <v>95</v>
      </c>
      <c r="D4" s="7">
        <v>65</v>
      </c>
      <c r="E4" s="7">
        <v>65</v>
      </c>
      <c r="F4" s="7">
        <f t="shared" ref="F4:F12" si="0">SUM(C4:E4)</f>
        <v>225</v>
      </c>
    </row>
    <row r="5" spans="1:6" x14ac:dyDescent="0.4">
      <c r="A5" s="12" t="s">
        <v>21</v>
      </c>
      <c r="B5" s="6" t="s">
        <v>22</v>
      </c>
      <c r="C5" s="7">
        <v>95</v>
      </c>
      <c r="D5" s="7">
        <v>75</v>
      </c>
      <c r="E5" s="7">
        <v>95</v>
      </c>
      <c r="F5" s="7">
        <f t="shared" si="0"/>
        <v>265</v>
      </c>
    </row>
    <row r="6" spans="1:6" x14ac:dyDescent="0.4">
      <c r="A6" s="12" t="s">
        <v>21</v>
      </c>
      <c r="B6" s="6" t="s">
        <v>5</v>
      </c>
      <c r="C6" s="7">
        <v>85</v>
      </c>
      <c r="D6" s="7">
        <v>50</v>
      </c>
      <c r="E6" s="7">
        <v>80</v>
      </c>
      <c r="F6" s="7">
        <f t="shared" si="0"/>
        <v>215</v>
      </c>
    </row>
    <row r="7" spans="1:6" x14ac:dyDescent="0.4">
      <c r="A7" s="12" t="s">
        <v>19</v>
      </c>
      <c r="B7" s="6" t="s">
        <v>23</v>
      </c>
      <c r="C7" s="7">
        <v>100</v>
      </c>
      <c r="D7" s="7">
        <v>90</v>
      </c>
      <c r="E7" s="7">
        <v>80</v>
      </c>
      <c r="F7" s="7">
        <f t="shared" si="0"/>
        <v>270</v>
      </c>
    </row>
    <row r="8" spans="1:6" x14ac:dyDescent="0.4">
      <c r="A8" s="12" t="s">
        <v>21</v>
      </c>
      <c r="B8" s="6" t="s">
        <v>24</v>
      </c>
      <c r="C8" s="7">
        <v>90</v>
      </c>
      <c r="D8" s="7">
        <v>80</v>
      </c>
      <c r="E8" s="7">
        <v>60</v>
      </c>
      <c r="F8" s="7">
        <f t="shared" si="0"/>
        <v>230</v>
      </c>
    </row>
    <row r="9" spans="1:6" x14ac:dyDescent="0.4">
      <c r="A9" s="12" t="s">
        <v>25</v>
      </c>
      <c r="B9" s="6" t="s">
        <v>26</v>
      </c>
      <c r="C9" s="7">
        <v>85</v>
      </c>
      <c r="D9" s="7">
        <v>75</v>
      </c>
      <c r="E9" s="7">
        <v>75</v>
      </c>
      <c r="F9" s="7">
        <f t="shared" si="0"/>
        <v>235</v>
      </c>
    </row>
    <row r="10" spans="1:6" x14ac:dyDescent="0.4">
      <c r="A10" s="12" t="s">
        <v>25</v>
      </c>
      <c r="B10" s="6" t="s">
        <v>27</v>
      </c>
      <c r="C10" s="7">
        <v>85</v>
      </c>
      <c r="D10" s="7">
        <v>85</v>
      </c>
      <c r="E10" s="7">
        <v>75</v>
      </c>
      <c r="F10" s="7">
        <f t="shared" si="0"/>
        <v>245</v>
      </c>
    </row>
    <row r="11" spans="1:6" x14ac:dyDescent="0.4">
      <c r="A11" s="12" t="s">
        <v>25</v>
      </c>
      <c r="B11" s="6" t="s">
        <v>28</v>
      </c>
      <c r="C11" s="7">
        <v>90</v>
      </c>
      <c r="D11" s="7">
        <v>70</v>
      </c>
      <c r="E11" s="7">
        <v>85</v>
      </c>
      <c r="F11" s="7">
        <f t="shared" si="0"/>
        <v>245</v>
      </c>
    </row>
    <row r="12" spans="1:6" x14ac:dyDescent="0.4">
      <c r="A12" s="12" t="s">
        <v>19</v>
      </c>
      <c r="B12" s="6" t="s">
        <v>29</v>
      </c>
      <c r="C12" s="7">
        <v>80</v>
      </c>
      <c r="D12" s="7">
        <v>70</v>
      </c>
      <c r="E12" s="7">
        <v>90</v>
      </c>
      <c r="F12" s="7">
        <f t="shared" si="0"/>
        <v>240</v>
      </c>
    </row>
    <row r="13" spans="1:6" x14ac:dyDescent="0.4">
      <c r="A13" s="3"/>
      <c r="B13" s="3"/>
      <c r="C13" s="3"/>
      <c r="D13" s="3"/>
      <c r="E13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dimension ref="A1:I22"/>
  <sheetViews>
    <sheetView workbookViewId="0"/>
  </sheetViews>
  <sheetFormatPr defaultRowHeight="17.399999999999999" x14ac:dyDescent="0.4"/>
  <cols>
    <col min="1" max="1" width="16.09765625" customWidth="1"/>
    <col min="2" max="4" width="12.59765625" style="15" customWidth="1"/>
    <col min="5" max="5" width="5.19921875" customWidth="1"/>
    <col min="6" max="6" width="16.19921875" customWidth="1"/>
    <col min="7" max="9" width="12.59765625" style="15" customWidth="1"/>
  </cols>
  <sheetData>
    <row r="1" spans="1:9" ht="25.2" x14ac:dyDescent="0.55000000000000004">
      <c r="A1" s="2" t="s">
        <v>30</v>
      </c>
      <c r="B1" s="13"/>
      <c r="C1" s="13"/>
      <c r="D1" s="13"/>
      <c r="E1" s="2"/>
      <c r="F1" s="2"/>
      <c r="G1" s="13"/>
      <c r="H1" s="13"/>
      <c r="I1" s="13"/>
    </row>
    <row r="2" spans="1:9" x14ac:dyDescent="0.4">
      <c r="A2" s="8"/>
      <c r="B2" s="14"/>
      <c r="C2" s="14"/>
      <c r="D2" s="14"/>
      <c r="E2" s="8"/>
      <c r="F2" s="9"/>
    </row>
    <row r="3" spans="1:9" x14ac:dyDescent="0.4">
      <c r="A3" t="s">
        <v>53</v>
      </c>
      <c r="F3" t="s">
        <v>31</v>
      </c>
    </row>
    <row r="4" spans="1:9" x14ac:dyDescent="0.4">
      <c r="A4" s="5" t="s">
        <v>7</v>
      </c>
      <c r="B4" s="16" t="s">
        <v>32</v>
      </c>
      <c r="C4" s="16" t="s">
        <v>33</v>
      </c>
      <c r="D4" s="16" t="s">
        <v>34</v>
      </c>
      <c r="F4" s="5" t="s">
        <v>7</v>
      </c>
      <c r="G4" s="16" t="s">
        <v>32</v>
      </c>
      <c r="H4" s="16" t="s">
        <v>33</v>
      </c>
      <c r="I4" s="16" t="s">
        <v>34</v>
      </c>
    </row>
    <row r="5" spans="1:9" x14ac:dyDescent="0.4">
      <c r="A5" s="10" t="s">
        <v>35</v>
      </c>
      <c r="B5" s="17">
        <v>10800</v>
      </c>
      <c r="C5" s="17">
        <v>9000</v>
      </c>
      <c r="D5" s="17">
        <v>9140</v>
      </c>
      <c r="F5" s="10" t="s">
        <v>35</v>
      </c>
      <c r="G5" s="17"/>
      <c r="H5" s="17"/>
      <c r="I5" s="17"/>
    </row>
    <row r="6" spans="1:9" x14ac:dyDescent="0.4">
      <c r="A6" s="10" t="s">
        <v>36</v>
      </c>
      <c r="B6" s="17">
        <v>9200</v>
      </c>
      <c r="C6" s="17">
        <v>13780</v>
      </c>
      <c r="D6" s="17">
        <v>13080</v>
      </c>
      <c r="F6" s="10" t="s">
        <v>37</v>
      </c>
      <c r="G6" s="17"/>
      <c r="H6" s="17"/>
      <c r="I6" s="17"/>
    </row>
    <row r="7" spans="1:9" x14ac:dyDescent="0.4">
      <c r="A7" s="10" t="s">
        <v>37</v>
      </c>
      <c r="B7" s="17">
        <v>9060</v>
      </c>
      <c r="C7" s="17">
        <v>9160</v>
      </c>
      <c r="D7" s="17">
        <v>9140</v>
      </c>
      <c r="F7" s="10" t="s">
        <v>36</v>
      </c>
      <c r="G7" s="17"/>
      <c r="H7" s="17"/>
      <c r="I7" s="17"/>
    </row>
    <row r="8" spans="1:9" x14ac:dyDescent="0.4">
      <c r="A8" s="10" t="s">
        <v>38</v>
      </c>
      <c r="B8" s="17">
        <v>3780</v>
      </c>
      <c r="C8" s="17">
        <v>3680</v>
      </c>
      <c r="D8" s="17">
        <v>2840</v>
      </c>
      <c r="F8" s="10" t="s">
        <v>38</v>
      </c>
      <c r="G8" s="17"/>
      <c r="H8" s="17"/>
      <c r="I8" s="17"/>
    </row>
    <row r="10" spans="1:9" x14ac:dyDescent="0.4">
      <c r="A10" t="s">
        <v>54</v>
      </c>
    </row>
    <row r="11" spans="1:9" x14ac:dyDescent="0.4">
      <c r="A11" s="5" t="s">
        <v>7</v>
      </c>
      <c r="B11" s="16" t="s">
        <v>32</v>
      </c>
      <c r="C11" s="16" t="s">
        <v>33</v>
      </c>
      <c r="D11" s="16" t="s">
        <v>34</v>
      </c>
    </row>
    <row r="12" spans="1:9" x14ac:dyDescent="0.4">
      <c r="A12" s="10" t="s">
        <v>35</v>
      </c>
      <c r="B12" s="17">
        <v>11360</v>
      </c>
      <c r="C12" s="17">
        <v>5780</v>
      </c>
      <c r="D12" s="17">
        <v>17940</v>
      </c>
    </row>
    <row r="13" spans="1:9" x14ac:dyDescent="0.4">
      <c r="A13" s="10" t="s">
        <v>37</v>
      </c>
      <c r="B13" s="17">
        <v>9560</v>
      </c>
      <c r="C13" s="17">
        <v>13960</v>
      </c>
      <c r="D13" s="17">
        <v>11560</v>
      </c>
    </row>
    <row r="14" spans="1:9" x14ac:dyDescent="0.4">
      <c r="A14" s="10" t="s">
        <v>38</v>
      </c>
      <c r="B14" s="17">
        <v>3960</v>
      </c>
      <c r="C14" s="17">
        <v>9140</v>
      </c>
      <c r="D14" s="17">
        <v>19700</v>
      </c>
    </row>
    <row r="15" spans="1:9" x14ac:dyDescent="0.4">
      <c r="A15" s="10" t="s">
        <v>36</v>
      </c>
      <c r="B15" s="17">
        <v>3740</v>
      </c>
      <c r="C15" s="17">
        <v>3300</v>
      </c>
      <c r="D15" s="17">
        <v>2840</v>
      </c>
    </row>
    <row r="17" spans="1:4" x14ac:dyDescent="0.4">
      <c r="A17" t="s">
        <v>55</v>
      </c>
    </row>
    <row r="18" spans="1:4" x14ac:dyDescent="0.4">
      <c r="A18" s="5" t="s">
        <v>7</v>
      </c>
      <c r="B18" s="16" t="s">
        <v>32</v>
      </c>
      <c r="C18" s="16" t="s">
        <v>33</v>
      </c>
      <c r="D18" s="16" t="s">
        <v>34</v>
      </c>
    </row>
    <row r="19" spans="1:4" x14ac:dyDescent="0.4">
      <c r="A19" s="10" t="s">
        <v>35</v>
      </c>
      <c r="B19" s="17">
        <v>9360</v>
      </c>
      <c r="C19" s="17">
        <v>7080</v>
      </c>
      <c r="D19" s="17">
        <v>9120</v>
      </c>
    </row>
    <row r="20" spans="1:4" x14ac:dyDescent="0.4">
      <c r="A20" s="10" t="s">
        <v>38</v>
      </c>
      <c r="B20" s="17">
        <v>5700</v>
      </c>
      <c r="C20" s="17">
        <v>13700</v>
      </c>
      <c r="D20" s="17">
        <v>11560</v>
      </c>
    </row>
    <row r="21" spans="1:4" x14ac:dyDescent="0.4">
      <c r="A21" s="10" t="s">
        <v>37</v>
      </c>
      <c r="B21" s="17">
        <v>6700</v>
      </c>
      <c r="C21" s="17">
        <v>3080</v>
      </c>
      <c r="D21" s="17">
        <v>3300</v>
      </c>
    </row>
    <row r="22" spans="1:4" x14ac:dyDescent="0.4">
      <c r="A22" s="10" t="s">
        <v>36</v>
      </c>
      <c r="B22" s="17">
        <v>9560</v>
      </c>
      <c r="C22" s="17">
        <v>14960</v>
      </c>
      <c r="D22" s="17">
        <v>9680</v>
      </c>
    </row>
  </sheetData>
  <dataConsolidate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dimension ref="A1:E11"/>
  <sheetViews>
    <sheetView workbookViewId="0"/>
  </sheetViews>
  <sheetFormatPr defaultRowHeight="17.399999999999999" x14ac:dyDescent="0.4"/>
  <cols>
    <col min="1" max="5" width="12.59765625" customWidth="1"/>
  </cols>
  <sheetData>
    <row r="1" spans="1:5" ht="25.2" x14ac:dyDescent="0.55000000000000004">
      <c r="A1" s="2" t="s">
        <v>39</v>
      </c>
      <c r="B1" s="2"/>
      <c r="C1" s="2"/>
      <c r="D1" s="2"/>
      <c r="E1" s="2"/>
    </row>
    <row r="2" spans="1:5" x14ac:dyDescent="0.4">
      <c r="A2" s="3"/>
      <c r="B2" s="3"/>
      <c r="C2" s="3"/>
      <c r="D2" s="4"/>
    </row>
    <row r="3" spans="1:5" ht="22.95" customHeight="1" x14ac:dyDescent="0.4">
      <c r="A3" s="5" t="s">
        <v>7</v>
      </c>
      <c r="B3" s="5" t="s">
        <v>4</v>
      </c>
      <c r="C3" s="5" t="s">
        <v>40</v>
      </c>
      <c r="D3" s="5" t="s">
        <v>41</v>
      </c>
      <c r="E3" s="5" t="s">
        <v>42</v>
      </c>
    </row>
    <row r="4" spans="1:5" ht="22.95" customHeight="1" x14ac:dyDescent="0.4">
      <c r="A4" s="6" t="s">
        <v>35</v>
      </c>
      <c r="B4" s="6" t="s">
        <v>43</v>
      </c>
      <c r="C4" s="17">
        <v>5780</v>
      </c>
      <c r="D4" s="17">
        <v>17940</v>
      </c>
      <c r="E4" s="17"/>
    </row>
    <row r="5" spans="1:5" ht="22.95" customHeight="1" x14ac:dyDescent="0.4">
      <c r="A5" s="6" t="s">
        <v>37</v>
      </c>
      <c r="B5" s="6" t="s">
        <v>44</v>
      </c>
      <c r="C5" s="17">
        <v>13960</v>
      </c>
      <c r="D5" s="17">
        <v>11560</v>
      </c>
      <c r="E5" s="17"/>
    </row>
    <row r="6" spans="1:5" ht="22.95" customHeight="1" x14ac:dyDescent="0.4">
      <c r="A6" s="6" t="s">
        <v>38</v>
      </c>
      <c r="B6" s="6" t="s">
        <v>45</v>
      </c>
      <c r="C6" s="17">
        <v>9140</v>
      </c>
      <c r="D6" s="17">
        <v>19700</v>
      </c>
      <c r="E6" s="17"/>
    </row>
    <row r="7" spans="1:5" ht="22.95" customHeight="1" x14ac:dyDescent="0.4">
      <c r="A7" s="6" t="s">
        <v>36</v>
      </c>
      <c r="B7" s="6" t="s">
        <v>46</v>
      </c>
      <c r="C7" s="17">
        <v>3300</v>
      </c>
      <c r="D7" s="17">
        <v>2840</v>
      </c>
      <c r="E7" s="17"/>
    </row>
    <row r="8" spans="1:5" ht="22.95" customHeight="1" x14ac:dyDescent="0.4">
      <c r="A8" s="6" t="s">
        <v>13</v>
      </c>
      <c r="B8" s="6" t="s">
        <v>47</v>
      </c>
      <c r="C8" s="17">
        <v>4580</v>
      </c>
      <c r="D8" s="17">
        <v>4650</v>
      </c>
      <c r="E8" s="17"/>
    </row>
    <row r="9" spans="1:5" ht="22.95" customHeight="1" x14ac:dyDescent="0.4"/>
    <row r="10" spans="1:5" ht="22.95" customHeight="1" x14ac:dyDescent="0.4"/>
    <row r="11" spans="1:5" ht="22.95" customHeight="1" x14ac:dyDescent="0.4"/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30CB-9334-4152-BD7A-C24DCA4A194E}">
  <dimension ref="A1:K13"/>
  <sheetViews>
    <sheetView workbookViewId="0"/>
  </sheetViews>
  <sheetFormatPr defaultRowHeight="17.399999999999999" x14ac:dyDescent="0.4"/>
  <cols>
    <col min="1" max="5" width="14.59765625" customWidth="1"/>
    <col min="8" max="11" width="10.5" bestFit="1" customWidth="1"/>
  </cols>
  <sheetData>
    <row r="1" spans="1:11" ht="25.2" x14ac:dyDescent="0.4">
      <c r="A1" s="18" t="s">
        <v>48</v>
      </c>
      <c r="B1" s="18"/>
      <c r="C1" s="18"/>
      <c r="D1" s="18"/>
      <c r="E1" s="18"/>
    </row>
    <row r="2" spans="1:11" x14ac:dyDescent="0.4">
      <c r="A2" s="19"/>
      <c r="B2" s="19"/>
      <c r="C2" s="19"/>
      <c r="D2" s="20"/>
    </row>
    <row r="3" spans="1:11" x14ac:dyDescent="0.4">
      <c r="A3" s="21" t="s">
        <v>49</v>
      </c>
      <c r="B3" s="21" t="s">
        <v>56</v>
      </c>
      <c r="C3" s="21" t="s">
        <v>57</v>
      </c>
      <c r="D3" s="21" t="s">
        <v>58</v>
      </c>
      <c r="E3" s="21" t="s">
        <v>59</v>
      </c>
    </row>
    <row r="4" spans="1:11" x14ac:dyDescent="0.4">
      <c r="A4" s="22" t="s">
        <v>50</v>
      </c>
      <c r="B4" s="23">
        <v>42437</v>
      </c>
      <c r="C4" s="23">
        <v>43632</v>
      </c>
      <c r="D4" s="24">
        <v>47664</v>
      </c>
      <c r="E4" s="24">
        <v>47254</v>
      </c>
    </row>
    <row r="5" spans="1:11" x14ac:dyDescent="0.4">
      <c r="A5" s="22" t="s">
        <v>51</v>
      </c>
      <c r="B5" s="23">
        <v>11666</v>
      </c>
      <c r="C5" s="23">
        <v>12769</v>
      </c>
      <c r="D5" s="24">
        <v>13182</v>
      </c>
      <c r="E5" s="24">
        <v>14568</v>
      </c>
    </row>
    <row r="6" spans="1:11" x14ac:dyDescent="0.4">
      <c r="A6" s="22" t="s">
        <v>52</v>
      </c>
      <c r="B6" s="24">
        <v>27345</v>
      </c>
      <c r="C6" s="23">
        <v>27973</v>
      </c>
      <c r="D6" s="24">
        <v>31570</v>
      </c>
      <c r="E6" s="24">
        <v>33280</v>
      </c>
    </row>
    <row r="7" spans="1:11" x14ac:dyDescent="0.4">
      <c r="A7" s="22" t="s">
        <v>2</v>
      </c>
      <c r="B7" s="24">
        <v>81448</v>
      </c>
      <c r="C7" s="24">
        <v>84374</v>
      </c>
      <c r="D7" s="24">
        <v>92353</v>
      </c>
      <c r="E7" s="24">
        <v>95102</v>
      </c>
    </row>
    <row r="12" spans="1:11" x14ac:dyDescent="0.4">
      <c r="I12" s="25"/>
      <c r="J12" s="26"/>
      <c r="K12" s="26"/>
    </row>
    <row r="13" spans="1:11" x14ac:dyDescent="0.4">
      <c r="I13" s="25"/>
      <c r="J13" s="26"/>
      <c r="K13" s="26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김쌤</cp:lastModifiedBy>
  <dcterms:created xsi:type="dcterms:W3CDTF">2023-03-19T01:30:18Z</dcterms:created>
  <dcterms:modified xsi:type="dcterms:W3CDTF">2025-05-31T06:04:05Z</dcterms:modified>
</cp:coreProperties>
</file>