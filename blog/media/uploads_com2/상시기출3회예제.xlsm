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F:\컴활2급실기상시기출(유튜브)\24년-3회\"/>
    </mc:Choice>
  </mc:AlternateContent>
  <xr:revisionPtr revIDLastSave="0" documentId="13_ncr:1_{803DDB91-EF49-42BD-9163-D2723ED0C175}" xr6:coauthVersionLast="47" xr6:coauthVersionMax="47" xr10:uidLastSave="{00000000-0000-0000-0000-000000000000}"/>
  <bookViews>
    <workbookView xWindow="1680" yWindow="30" windowWidth="25500" windowHeight="14355" tabRatio="757" activeTab="2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10" r:id="rId5"/>
    <sheet name="분석작업-2" sheetId="9" r:id="rId6"/>
    <sheet name="매크로작업" sheetId="7" r:id="rId7"/>
    <sheet name="차트작업" sheetId="8" r:id="rId8"/>
  </sheets>
  <definedNames>
    <definedName name="_xlnm._FilterDatabase" localSheetId="5" hidden="1">'분석작업-2'!$A$3:$G$17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9" l="1"/>
  <c r="G11" i="9"/>
  <c r="G10" i="9"/>
  <c r="G9" i="9"/>
  <c r="G8" i="9"/>
  <c r="G7" i="9"/>
  <c r="G6" i="9"/>
  <c r="G5" i="9"/>
  <c r="G4" i="9"/>
  <c r="G14" i="10"/>
  <c r="H14" i="10" s="1"/>
  <c r="G13" i="10"/>
  <c r="H13" i="10" s="1"/>
  <c r="G12" i="10"/>
  <c r="H12" i="10" s="1"/>
  <c r="G11" i="10"/>
  <c r="H11" i="10" s="1"/>
  <c r="G10" i="10"/>
  <c r="H10" i="10" s="1"/>
  <c r="G9" i="10"/>
  <c r="H9" i="10" s="1"/>
  <c r="G8" i="10"/>
  <c r="H8" i="10" s="1"/>
  <c r="G7" i="10"/>
  <c r="H7" i="10" s="1"/>
  <c r="G6" i="10"/>
  <c r="H6" i="10" s="1"/>
  <c r="G5" i="10"/>
  <c r="H5" i="10" s="1"/>
  <c r="G4" i="10"/>
  <c r="H4" i="10" s="1"/>
  <c r="I24" i="4" l="1"/>
  <c r="I23" i="4"/>
  <c r="I22" i="4"/>
  <c r="I21" i="4"/>
  <c r="I20" i="4"/>
  <c r="I19" i="4"/>
  <c r="I18" i="4"/>
  <c r="I17" i="4"/>
</calcChain>
</file>

<file path=xl/sharedStrings.xml><?xml version="1.0" encoding="utf-8"?>
<sst xmlns="http://schemas.openxmlformats.org/spreadsheetml/2006/main" count="286" uniqueCount="241">
  <si>
    <t>[표1]</t>
    <phoneticPr fontId="2" type="noConversion"/>
  </si>
  <si>
    <t>[표2]</t>
    <phoneticPr fontId="6" type="noConversion"/>
  </si>
  <si>
    <t>지점</t>
    <phoneticPr fontId="6" type="noConversion"/>
  </si>
  <si>
    <t>이름</t>
    <phoneticPr fontId="6" type="noConversion"/>
  </si>
  <si>
    <t>매출액</t>
    <phoneticPr fontId="6" type="noConversion"/>
  </si>
  <si>
    <t>순위</t>
    <phoneticPr fontId="6" type="noConversion"/>
  </si>
  <si>
    <t>부서</t>
    <phoneticPr fontId="6" type="noConversion"/>
  </si>
  <si>
    <t>직위</t>
    <phoneticPr fontId="6" type="noConversion"/>
  </si>
  <si>
    <t>동부</t>
    <phoneticPr fontId="2" type="noConversion"/>
  </si>
  <si>
    <t>김연주</t>
    <phoneticPr fontId="2" type="noConversion"/>
  </si>
  <si>
    <t>서부</t>
    <phoneticPr fontId="2" type="noConversion"/>
  </si>
  <si>
    <t>홍기민</t>
    <phoneticPr fontId="2" type="noConversion"/>
  </si>
  <si>
    <t>남부</t>
    <phoneticPr fontId="2" type="noConversion"/>
  </si>
  <si>
    <t>채동식</t>
    <phoneticPr fontId="2" type="noConversion"/>
  </si>
  <si>
    <t>북부</t>
    <phoneticPr fontId="2" type="noConversion"/>
  </si>
  <si>
    <t>이민섭</t>
    <phoneticPr fontId="2" type="noConversion"/>
  </si>
  <si>
    <t>서부</t>
    <phoneticPr fontId="2" type="noConversion"/>
  </si>
  <si>
    <t>길기훈</t>
    <phoneticPr fontId="2" type="noConversion"/>
  </si>
  <si>
    <t>1위</t>
    <phoneticPr fontId="2" type="noConversion"/>
  </si>
  <si>
    <t>남부</t>
    <phoneticPr fontId="2" type="noConversion"/>
  </si>
  <si>
    <t>남재영</t>
    <phoneticPr fontId="2" type="noConversion"/>
  </si>
  <si>
    <t>동부</t>
    <phoneticPr fontId="2" type="noConversion"/>
  </si>
  <si>
    <t>민기영</t>
    <phoneticPr fontId="2" type="noConversion"/>
  </si>
  <si>
    <t>2위</t>
    <phoneticPr fontId="2" type="noConversion"/>
  </si>
  <si>
    <t>북부</t>
    <phoneticPr fontId="2" type="noConversion"/>
  </si>
  <si>
    <t>박소연</t>
    <phoneticPr fontId="2" type="noConversion"/>
  </si>
  <si>
    <t>[표3]</t>
    <phoneticPr fontId="2" type="noConversion"/>
  </si>
  <si>
    <t>[표4]</t>
    <phoneticPr fontId="2" type="noConversion"/>
  </si>
  <si>
    <t>학번</t>
    <phoneticPr fontId="6" type="noConversion"/>
  </si>
  <si>
    <t>이름</t>
    <phoneticPr fontId="6" type="noConversion"/>
  </si>
  <si>
    <t>주민등록번호</t>
    <phoneticPr fontId="6" type="noConversion"/>
  </si>
  <si>
    <t>성별</t>
    <phoneticPr fontId="6" type="noConversion"/>
  </si>
  <si>
    <t>국사</t>
    <phoneticPr fontId="6" type="noConversion"/>
  </si>
  <si>
    <t>상식</t>
    <phoneticPr fontId="6" type="noConversion"/>
  </si>
  <si>
    <t>총점</t>
    <phoneticPr fontId="2" type="noConversion"/>
  </si>
  <si>
    <t>순위</t>
    <phoneticPr fontId="2" type="noConversion"/>
  </si>
  <si>
    <t>M1602001</t>
    <phoneticPr fontId="2" type="noConversion"/>
  </si>
  <si>
    <t>이민영</t>
    <phoneticPr fontId="2" type="noConversion"/>
  </si>
  <si>
    <t>이후정</t>
    <phoneticPr fontId="2" type="noConversion"/>
  </si>
  <si>
    <t>M1602002</t>
  </si>
  <si>
    <t>도홍진</t>
    <phoneticPr fontId="2" type="noConversion"/>
  </si>
  <si>
    <t>백천경</t>
    <phoneticPr fontId="2" type="noConversion"/>
  </si>
  <si>
    <t>M1602003</t>
  </si>
  <si>
    <t>박수진</t>
    <phoneticPr fontId="2" type="noConversion"/>
  </si>
  <si>
    <t>민경배</t>
    <phoneticPr fontId="2" type="noConversion"/>
  </si>
  <si>
    <t>M1602004</t>
  </si>
  <si>
    <t>최만수</t>
    <phoneticPr fontId="2" type="noConversion"/>
  </si>
  <si>
    <t>김태하</t>
    <phoneticPr fontId="2" type="noConversion"/>
  </si>
  <si>
    <t>M1602005</t>
  </si>
  <si>
    <t>조용덕</t>
    <phoneticPr fontId="2" type="noConversion"/>
  </si>
  <si>
    <t>이사랑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</si>
  <si>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</si>
  <si>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</si>
  <si>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</si>
  <si>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곽난영</t>
    <phoneticPr fontId="2" type="noConversion"/>
  </si>
  <si>
    <t>M1602007</t>
  </si>
  <si>
    <t>편승주</t>
    <phoneticPr fontId="2" type="noConversion"/>
  </si>
  <si>
    <t>장채리</t>
    <phoneticPr fontId="2" type="noConversion"/>
  </si>
  <si>
    <t>M1602008</t>
  </si>
  <si>
    <t>곽나래</t>
    <phoneticPr fontId="2" type="noConversion"/>
  </si>
  <si>
    <t>봉전미</t>
    <phoneticPr fontId="2" type="noConversion"/>
  </si>
  <si>
    <t>[표5]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</si>
  <si>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</si>
  <si>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</si>
  <si>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</si>
  <si>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</si>
  <si>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이민수</t>
    <phoneticPr fontId="2" type="noConversion"/>
  </si>
  <si>
    <t>서울시 강북구</t>
    <phoneticPr fontId="2" type="noConversion"/>
  </si>
  <si>
    <t>김병훈</t>
    <phoneticPr fontId="2" type="noConversion"/>
  </si>
  <si>
    <t>대전시 대덕구</t>
    <phoneticPr fontId="2" type="noConversion"/>
  </si>
  <si>
    <t>최주영</t>
    <phoneticPr fontId="2" type="noConversion"/>
  </si>
  <si>
    <t>인천시 남동구</t>
    <phoneticPr fontId="2" type="noConversion"/>
  </si>
  <si>
    <t>길미라</t>
    <phoneticPr fontId="2" type="noConversion"/>
  </si>
  <si>
    <t>서울시 성북구</t>
    <phoneticPr fontId="2" type="noConversion"/>
  </si>
  <si>
    <t>나태후</t>
    <phoneticPr fontId="2" type="noConversion"/>
  </si>
  <si>
    <t>경기도 김포시</t>
    <phoneticPr fontId="2" type="noConversion"/>
  </si>
  <si>
    <t>전영태</t>
    <phoneticPr fontId="2" type="noConversion"/>
  </si>
  <si>
    <t>경기도 고양시</t>
    <phoneticPr fontId="2" type="noConversion"/>
  </si>
  <si>
    <t>조영선</t>
    <phoneticPr fontId="2" type="noConversion"/>
  </si>
  <si>
    <t>강원도 춘천시</t>
    <phoneticPr fontId="2" type="noConversion"/>
  </si>
  <si>
    <t>박민혜</t>
    <phoneticPr fontId="2" type="noConversion"/>
  </si>
  <si>
    <t>서울시 마포구</t>
    <phoneticPr fontId="2" type="noConversion"/>
  </si>
  <si>
    <t>학과코드</t>
    <phoneticPr fontId="2" type="noConversion"/>
  </si>
  <si>
    <t>M</t>
    <phoneticPr fontId="2" type="noConversion"/>
  </si>
  <si>
    <t>N</t>
    <phoneticPr fontId="2" type="noConversion"/>
  </si>
  <si>
    <t>학 과 명</t>
    <phoneticPr fontId="2" type="noConversion"/>
  </si>
  <si>
    <t>멀티미디어</t>
    <phoneticPr fontId="2" type="noConversion"/>
  </si>
  <si>
    <t>네트워크</t>
    <phoneticPr fontId="2" type="noConversion"/>
  </si>
  <si>
    <t>소프트웨어</t>
    <phoneticPr fontId="2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</si>
  <si>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</si>
  <si>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</si>
  <si>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</si>
  <si>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</si>
  <si>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</si>
  <si>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</si>
  <si>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</si>
  <si>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</si>
  <si>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</si>
  <si>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</si>
  <si>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</si>
  <si>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</si>
  <si>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</si>
  <si>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2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</si>
  <si>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</si>
  <si>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</si>
  <si>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</si>
  <si>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</si>
  <si>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</si>
  <si>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</si>
  <si>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</si>
  <si>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</si>
  <si>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</si>
  <si>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</si>
  <si>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</si>
  <si>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서비스</t>
    <phoneticPr fontId="2" type="noConversion"/>
  </si>
  <si>
    <t>기간통신서비스</t>
    <phoneticPr fontId="2" type="noConversion"/>
  </si>
  <si>
    <t>별정통신서비스</t>
  </si>
  <si>
    <t>부가통신서비스</t>
  </si>
  <si>
    <t>방송서비스</t>
  </si>
  <si>
    <t>정보통신서비스별 세부인력</t>
    <phoneticPr fontId="2" type="noConversion"/>
  </si>
  <si>
    <t>기본급</t>
    <phoneticPr fontId="2" type="noConversion"/>
  </si>
  <si>
    <t>상여금</t>
    <phoneticPr fontId="6" type="noConversion"/>
  </si>
  <si>
    <t>M-120</t>
    <phoneticPr fontId="2" type="noConversion"/>
  </si>
  <si>
    <t>N-082</t>
    <phoneticPr fontId="2" type="noConversion"/>
  </si>
  <si>
    <t>S-035</t>
    <phoneticPr fontId="2" type="noConversion"/>
  </si>
  <si>
    <t>M-072</t>
    <phoneticPr fontId="2" type="noConversion"/>
  </si>
  <si>
    <t>S-141</t>
    <phoneticPr fontId="2" type="noConversion"/>
  </si>
  <si>
    <t>N-033</t>
    <phoneticPr fontId="2" type="noConversion"/>
  </si>
  <si>
    <t>M-037</t>
    <phoneticPr fontId="2" type="noConversion"/>
  </si>
  <si>
    <t>A-028</t>
    <phoneticPr fontId="2" type="noConversion"/>
  </si>
  <si>
    <t>[표1] 발화요인에 대한 월별 화재 발생건수 현황</t>
    <phoneticPr fontId="2" type="noConversion"/>
  </si>
  <si>
    <t>동부지점 합계</t>
    <phoneticPr fontId="6" type="noConversion"/>
  </si>
  <si>
    <t>박영덕</t>
    <phoneticPr fontId="2" type="noConversion"/>
  </si>
  <si>
    <t>영업부</t>
    <phoneticPr fontId="2" type="noConversion"/>
  </si>
  <si>
    <t>부장</t>
    <phoneticPr fontId="2" type="noConversion"/>
  </si>
  <si>
    <t>주민경</t>
    <phoneticPr fontId="2" type="noConversion"/>
  </si>
  <si>
    <t>생산부</t>
    <phoneticPr fontId="2" type="noConversion"/>
  </si>
  <si>
    <t>과장</t>
    <phoneticPr fontId="2" type="noConversion"/>
  </si>
  <si>
    <t>태진형</t>
    <phoneticPr fontId="2" type="noConversion"/>
  </si>
  <si>
    <t>총무부</t>
    <phoneticPr fontId="2" type="noConversion"/>
  </si>
  <si>
    <t>사원</t>
    <phoneticPr fontId="2" type="noConversion"/>
  </si>
  <si>
    <t>최민수</t>
    <phoneticPr fontId="2" type="noConversion"/>
  </si>
  <si>
    <t>대리</t>
    <phoneticPr fontId="2" type="noConversion"/>
  </si>
  <si>
    <t>김평주</t>
    <phoneticPr fontId="2" type="noConversion"/>
  </si>
  <si>
    <t>주임</t>
    <phoneticPr fontId="2" type="noConversion"/>
  </si>
  <si>
    <t>한서라</t>
    <phoneticPr fontId="2" type="noConversion"/>
  </si>
  <si>
    <t>이국선</t>
    <phoneticPr fontId="2" type="noConversion"/>
  </si>
  <si>
    <t>송나정</t>
    <phoneticPr fontId="2" type="noConversion"/>
  </si>
  <si>
    <t>S</t>
    <phoneticPr fontId="2" type="noConversion"/>
  </si>
  <si>
    <r>
      <t>상여금이 1,200,000원 보다 크면서, 
평균기본급이상인</t>
    </r>
    <r>
      <rPr>
        <b/>
        <sz val="11"/>
        <color theme="1"/>
        <rFont val="맑은 고딕"/>
        <family val="3"/>
        <charset val="129"/>
        <scheme val="minor"/>
      </rPr>
      <t xml:space="preserve"> 인원수</t>
    </r>
    <phoneticPr fontId="6" type="noConversion"/>
  </si>
  <si>
    <t>2022년</t>
    <phoneticPr fontId="2" type="noConversion"/>
  </si>
  <si>
    <t>2023년</t>
    <phoneticPr fontId="2" type="noConversion"/>
  </si>
  <si>
    <t>2024년</t>
  </si>
  <si>
    <t>2025년</t>
  </si>
  <si>
    <t>2026년</t>
  </si>
  <si>
    <t>030218-2304567</t>
    <phoneticPr fontId="2" type="noConversion"/>
  </si>
  <si>
    <t>050802-3065821</t>
    <phoneticPr fontId="2" type="noConversion"/>
  </si>
  <si>
    <t>051115-4356712</t>
    <phoneticPr fontId="2" type="noConversion"/>
  </si>
  <si>
    <t>040723-1935645</t>
    <phoneticPr fontId="2" type="noConversion"/>
  </si>
  <si>
    <t>051225-1328650</t>
    <phoneticPr fontId="2" type="noConversion"/>
  </si>
  <si>
    <t>040123-3652942</t>
    <phoneticPr fontId="2" type="noConversion"/>
  </si>
  <si>
    <t>061015-4685201</t>
    <phoneticPr fontId="2" type="noConversion"/>
  </si>
  <si>
    <t>SWITCH</t>
    <phoneticPr fontId="2" type="noConversion"/>
  </si>
  <si>
    <t>가전제품 입고 현황</t>
    <phoneticPr fontId="2" type="noConversion"/>
  </si>
  <si>
    <t>지역별 봄꽃 개화시기</t>
  </si>
  <si>
    <t>꽃</t>
  </si>
  <si>
    <t>지역</t>
  </si>
  <si>
    <t>2022년</t>
  </si>
  <si>
    <t>2023년</t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</si>
  <si>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</si>
  <si>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</si>
  <si>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</si>
  <si>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</si>
  <si>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</si>
  <si>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</si>
  <si>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</si>
  <si>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</si>
  <si>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항공기 운영 현황</t>
    <phoneticPr fontId="2" type="noConversion"/>
  </si>
  <si>
    <t>국가</t>
  </si>
  <si>
    <t>방문자수</t>
  </si>
  <si>
    <t>운영비</t>
  </si>
  <si>
    <t>수익</t>
  </si>
  <si>
    <t>세금</t>
  </si>
  <si>
    <t>운행여부</t>
  </si>
  <si>
    <t>미국</t>
  </si>
  <si>
    <t>캐나다</t>
  </si>
  <si>
    <t>영국</t>
  </si>
  <si>
    <t>일시폐쇄</t>
  </si>
  <si>
    <t>프랑스</t>
  </si>
  <si>
    <t>그리스</t>
  </si>
  <si>
    <t>이탈리아</t>
  </si>
  <si>
    <t>독일</t>
  </si>
  <si>
    <t>일본</t>
  </si>
  <si>
    <t>중국</t>
  </si>
  <si>
    <t>필리핀</t>
  </si>
  <si>
    <t>뉴질랜드</t>
  </si>
  <si>
    <t>호주</t>
  </si>
  <si>
    <t>와인 판매 현황</t>
    <phoneticPr fontId="2" type="noConversion"/>
  </si>
  <si>
    <t>구분</t>
  </si>
  <si>
    <t>품명</t>
  </si>
  <si>
    <t>생산지</t>
  </si>
  <si>
    <t>수입총액</t>
  </si>
  <si>
    <t>판매가</t>
  </si>
  <si>
    <t>판매량</t>
  </si>
  <si>
    <t>판매총액</t>
  </si>
  <si>
    <t>이익</t>
  </si>
  <si>
    <t>화이트</t>
  </si>
  <si>
    <t>고스트파인</t>
  </si>
  <si>
    <t>레드</t>
  </si>
  <si>
    <t>토마이시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</si>
  <si>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</si>
  <si>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</si>
  <si>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</si>
  <si>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</si>
  <si>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</si>
  <si>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</si>
  <si>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</si>
  <si>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</si>
  <si>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</si>
  <si>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</si>
  <si>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</si>
  <si>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승진 시험 결과</t>
    <phoneticPr fontId="2" type="noConversion"/>
  </si>
  <si>
    <t>이름</t>
  </si>
  <si>
    <t>부서명</t>
  </si>
  <si>
    <t>업무수행</t>
  </si>
  <si>
    <t>영어</t>
  </si>
  <si>
    <t>전산이론</t>
  </si>
  <si>
    <t>전산실기</t>
  </si>
  <si>
    <t>평균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</si>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</sst>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#,##0_);[Red]\(#,##0\)"/>
    <numFmt numFmtId="178" formatCode="#,##0_ "/>
    <numFmt numFmtId="180" formatCode="0.0"/>
  </numFmts>
  <fonts count="1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Arial"/>
      <family val="2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3" fillId="0" borderId="0">
      <alignment vertical="center"/>
    </xf>
    <xf numFmtId="41" fontId="13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2" applyFont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righ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178" fontId="5" fillId="0" borderId="3" xfId="2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177" fontId="5" fillId="0" borderId="3" xfId="0" applyNumberFormat="1" applyFont="1" applyBorder="1" applyAlignment="1">
      <alignment horizontal="right" vertical="center"/>
    </xf>
    <xf numFmtId="0" fontId="4" fillId="0" borderId="11" xfId="0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right" vertical="center"/>
    </xf>
    <xf numFmtId="177" fontId="4" fillId="0" borderId="11" xfId="0" applyNumberFormat="1" applyFont="1" applyBorder="1" applyAlignment="1">
      <alignment horizontal="right" vertical="center"/>
    </xf>
    <xf numFmtId="177" fontId="4" fillId="0" borderId="12" xfId="0" applyNumberFormat="1" applyFont="1" applyBorder="1" applyAlignment="1">
      <alignment horizontal="right" vertical="center"/>
    </xf>
    <xf numFmtId="0" fontId="9" fillId="0" borderId="0" xfId="0" applyFo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11" fillId="0" borderId="3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49" fontId="11" fillId="0" borderId="4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49" fontId="11" fillId="0" borderId="4" xfId="2" applyNumberFormat="1" applyFont="1" applyBorder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5" fillId="0" borderId="0" xfId="0" applyFont="1">
      <alignment vertical="center"/>
    </xf>
    <xf numFmtId="0" fontId="11" fillId="0" borderId="3" xfId="2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41" fontId="0" fillId="0" borderId="0" xfId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14" fillId="0" borderId="0" xfId="0" applyFon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</cellXfs>
  <cellStyles count="7">
    <cellStyle name="20% - 강조색5 2" xfId="4" xr:uid="{00000000-0005-0000-0000-000001000000}"/>
    <cellStyle name="40% - 강조색3 2" xfId="3" xr:uid="{00000000-0005-0000-0000-000003000000}"/>
    <cellStyle name="쉼표 [0]" xfId="1" builtinId="6"/>
    <cellStyle name="쉼표 [0] 2" xfId="6" xr:uid="{00000000-0005-0000-0000-000005000000}"/>
    <cellStyle name="표준" xfId="0" builtinId="0"/>
    <cellStyle name="표준 2" xfId="2" xr:uid="{00000000-0005-0000-0000-000007000000}"/>
    <cellStyle name="표준 2 2" xfId="5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C-48C8-8935-E6CCCEB3CCF1}"/>
            </c:ext>
          </c:extLst>
        </c:ser>
        <c:ser>
          <c:idx val="2"/>
          <c:order val="1"/>
          <c:tx>
            <c:strRef>
              <c:f>차트작업!$A$5</c:f>
              <c:strCache>
                <c:ptCount val="1"/>
                <c:pt idx="0">
                  <c:v>별정통신서비스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차트작업!$B$5:$F$5</c:f>
              <c:numCache>
                <c:formatCode>#,##0_ </c:formatCode>
                <c:ptCount val="5"/>
                <c:pt idx="0">
                  <c:v>6158</c:v>
                </c:pt>
                <c:pt idx="1">
                  <c:v>6268</c:v>
                </c:pt>
                <c:pt idx="2">
                  <c:v>6400</c:v>
                </c:pt>
                <c:pt idx="3">
                  <c:v>6664</c:v>
                </c:pt>
                <c:pt idx="4">
                  <c:v>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C-48C8-8935-E6CCCEB3CCF1}"/>
            </c:ext>
          </c:extLst>
        </c:ser>
        <c:ser>
          <c:idx val="3"/>
          <c:order val="2"/>
          <c:tx>
            <c:strRef>
              <c:f>차트작업!$A$6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6C-48C8-8935-E6CCCEB3CCF1}"/>
            </c:ext>
          </c:extLst>
        </c:ser>
        <c:ser>
          <c:idx val="1"/>
          <c:order val="3"/>
          <c:tx>
            <c:strRef>
              <c:f>차트작업!$A$7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2022년</c:v>
                </c:pt>
                <c:pt idx="1">
                  <c:v>2023년</c:v>
                </c:pt>
                <c:pt idx="2">
                  <c:v>2024년</c:v>
                </c:pt>
                <c:pt idx="3">
                  <c:v>2025년</c:v>
                </c:pt>
                <c:pt idx="4">
                  <c:v>2026년</c:v>
                </c:pt>
              </c:strCache>
            </c:strRef>
          </c:cat>
          <c:val>
            <c:numRef>
              <c:f>차트작업!$B$7:$F$7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E-41C1-B7BB-BD90D1C4A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5483136"/>
        <c:axId val="215484672"/>
      </c:barChart>
      <c:catAx>
        <c:axId val="21548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4672"/>
        <c:crosses val="autoZero"/>
        <c:auto val="1"/>
        <c:lblAlgn val="ctr"/>
        <c:lblOffset val="100"/>
        <c:noMultiLvlLbl val="0"/>
      </c:catAx>
      <c:valAx>
        <c:axId val="2154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#,##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31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27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9"/>
  <sheetViews>
    <sheetView zoomScale="120" zoomScaleNormal="120" workbookViewId="0">
      <selection activeCell="D10" sqref="D10"/>
    </sheetView>
  </sheetViews>
  <sheetFormatPr defaultColWidth="9" defaultRowHeight="15.75" customHeight="1"/>
  <cols>
    <col min="1" max="1" width="15.125" bestFit="1" customWidth="1"/>
    <col min="4" max="4" width="10.875" bestFit="1" customWidth="1"/>
  </cols>
  <sheetData>
    <row r="1" spans="1:5" ht="15.75" customHeight="1">
      <c r="A1" t="s">
        <v>163</v>
      </c>
    </row>
    <row r="3" spans="1:5" ht="15.75" customHeight="1">
      <c r="A3" s="18"/>
      <c r="B3" s="18"/>
      <c r="C3" s="18"/>
      <c r="D3" s="18"/>
      <c r="E3" s="18"/>
    </row>
    <row r="4" spans="1:5" ht="15.75" customHeight="1">
      <c r="A4" s="18"/>
      <c r="B4" s="18"/>
      <c r="C4" s="18"/>
      <c r="D4" s="50"/>
      <c r="E4" s="18"/>
    </row>
    <row r="5" spans="1:5" ht="15.75" customHeight="1">
      <c r="A5" s="18"/>
      <c r="B5" s="18"/>
      <c r="C5" s="18"/>
      <c r="D5" s="50"/>
      <c r="E5" s="18"/>
    </row>
    <row r="6" spans="1:5" ht="15.75" customHeight="1">
      <c r="A6" s="18"/>
      <c r="B6" s="18"/>
      <c r="C6" s="18"/>
      <c r="D6" s="50"/>
      <c r="E6" s="18"/>
    </row>
    <row r="7" spans="1:5" ht="15.75" customHeight="1">
      <c r="A7" s="18"/>
      <c r="B7" s="18"/>
      <c r="C7" s="18"/>
      <c r="D7" s="50"/>
      <c r="E7" s="18"/>
    </row>
    <row r="8" spans="1:5" ht="15.75" customHeight="1">
      <c r="A8" s="18"/>
      <c r="B8" s="18"/>
      <c r="C8" s="18"/>
      <c r="D8" s="50"/>
      <c r="E8" s="18"/>
    </row>
    <row r="9" spans="1:5" ht="15.75" customHeight="1">
      <c r="A9" s="18"/>
      <c r="B9" s="18"/>
      <c r="C9" s="18"/>
      <c r="D9" s="50"/>
      <c r="E9" s="1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5"/>
  <sheetViews>
    <sheetView zoomScale="120" zoomScaleNormal="120" workbookViewId="0">
      <selection activeCell="D10" sqref="D10"/>
    </sheetView>
  </sheetViews>
  <sheetFormatPr defaultRowHeight="16.5"/>
  <cols>
    <col min="3" max="4" width="11.125" bestFit="1" customWidth="1"/>
  </cols>
  <sheetData>
    <row r="1" spans="1:5">
      <c r="A1" t="s">
        <v>164</v>
      </c>
    </row>
    <row r="3" spans="1:5">
      <c r="A3" s="18" t="s">
        <v>165</v>
      </c>
      <c r="B3" s="18" t="s">
        <v>166</v>
      </c>
      <c r="C3" s="18" t="s">
        <v>167</v>
      </c>
      <c r="D3" s="18" t="s">
        <v>168</v>
      </c>
      <c r="E3" s="18" t="s">
        <v>169</v>
      </c>
    </row>
    <row r="4" spans="1:5">
      <c r="A4" t="s">
        <v>170</v>
      </c>
      <c r="B4" s="18" t="s">
        <v>171</v>
      </c>
      <c r="C4" s="51">
        <v>45006</v>
      </c>
      <c r="D4" s="51">
        <v>45010</v>
      </c>
      <c r="E4" s="18">
        <v>4</v>
      </c>
    </row>
    <row r="5" spans="1:5">
      <c r="B5" s="18" t="s">
        <v>172</v>
      </c>
      <c r="C5" s="51">
        <v>45010</v>
      </c>
      <c r="D5" s="51">
        <v>45013</v>
      </c>
      <c r="E5" s="18">
        <v>3</v>
      </c>
    </row>
    <row r="6" spans="1:5">
      <c r="B6" s="18" t="s">
        <v>173</v>
      </c>
      <c r="C6" s="51">
        <v>45005</v>
      </c>
      <c r="D6" s="51">
        <v>45008</v>
      </c>
      <c r="E6" s="18">
        <v>3</v>
      </c>
    </row>
    <row r="7" spans="1:5">
      <c r="B7" s="18" t="s">
        <v>174</v>
      </c>
      <c r="C7" s="51">
        <v>45001</v>
      </c>
      <c r="D7" s="51">
        <v>45002</v>
      </c>
      <c r="E7" s="18">
        <v>1</v>
      </c>
    </row>
    <row r="8" spans="1:5">
      <c r="A8" t="s">
        <v>175</v>
      </c>
      <c r="B8" s="18" t="s">
        <v>171</v>
      </c>
      <c r="C8" s="51">
        <v>45008</v>
      </c>
      <c r="D8" s="51">
        <v>45013</v>
      </c>
      <c r="E8" s="18">
        <v>5</v>
      </c>
    </row>
    <row r="9" spans="1:5">
      <c r="B9" s="18" t="s">
        <v>172</v>
      </c>
      <c r="C9" s="51">
        <v>45008</v>
      </c>
      <c r="D9" s="51">
        <v>45014</v>
      </c>
      <c r="E9" s="18">
        <v>6</v>
      </c>
    </row>
    <row r="10" spans="1:5">
      <c r="B10" s="18" t="s">
        <v>173</v>
      </c>
      <c r="C10" s="51">
        <v>45001</v>
      </c>
      <c r="D10" s="51">
        <v>45005</v>
      </c>
      <c r="E10" s="18">
        <v>4</v>
      </c>
    </row>
    <row r="11" spans="1:5">
      <c r="B11" s="18" t="s">
        <v>174</v>
      </c>
      <c r="C11" s="51">
        <v>45003</v>
      </c>
      <c r="D11" s="51">
        <v>45004</v>
      </c>
      <c r="E11" s="18">
        <v>1</v>
      </c>
    </row>
    <row r="12" spans="1:5">
      <c r="A12" t="s">
        <v>176</v>
      </c>
      <c r="B12" s="18" t="s">
        <v>171</v>
      </c>
      <c r="C12" s="51">
        <v>45016</v>
      </c>
      <c r="D12" s="51">
        <v>45020</v>
      </c>
      <c r="E12" s="18">
        <v>4</v>
      </c>
    </row>
    <row r="13" spans="1:5">
      <c r="B13" s="18" t="s">
        <v>172</v>
      </c>
      <c r="C13" s="51">
        <v>45019</v>
      </c>
      <c r="D13" s="51">
        <v>45024</v>
      </c>
      <c r="E13" s="18">
        <v>5</v>
      </c>
    </row>
    <row r="14" spans="1:5">
      <c r="B14" s="18" t="s">
        <v>173</v>
      </c>
      <c r="C14" s="51">
        <v>45014</v>
      </c>
      <c r="D14" s="51">
        <v>45016</v>
      </c>
      <c r="E14" s="18">
        <v>2</v>
      </c>
    </row>
    <row r="15" spans="1:5">
      <c r="B15" s="18" t="s">
        <v>174</v>
      </c>
      <c r="C15" s="51">
        <v>45007</v>
      </c>
      <c r="D15" s="51">
        <v>45009</v>
      </c>
      <c r="E15" s="18">
        <v>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"/>
  <sheetViews>
    <sheetView tabSelected="1" zoomScale="120" zoomScaleNormal="120" workbookViewId="0">
      <selection activeCell="C23" sqref="C23"/>
    </sheetView>
  </sheetViews>
  <sheetFormatPr defaultRowHeight="16.5"/>
  <cols>
    <col min="1" max="1" width="11.875" customWidth="1"/>
    <col min="2" max="2" width="10.625" customWidth="1"/>
    <col min="3" max="5" width="11.875" bestFit="1" customWidth="1"/>
    <col min="7" max="7" width="11.625" customWidth="1"/>
  </cols>
  <sheetData>
    <row r="1" spans="1:6" ht="20.25">
      <c r="A1" s="52" t="s">
        <v>177</v>
      </c>
      <c r="B1" s="52"/>
      <c r="C1" s="52"/>
      <c r="D1" s="52"/>
      <c r="E1" s="52"/>
      <c r="F1" s="52"/>
    </row>
    <row r="3" spans="1:6">
      <c r="A3" s="9" t="s">
        <v>178</v>
      </c>
      <c r="B3" s="9" t="s">
        <v>179</v>
      </c>
      <c r="C3" s="9" t="s">
        <v>180</v>
      </c>
      <c r="D3" s="9" t="s">
        <v>181</v>
      </c>
      <c r="E3" s="9" t="s">
        <v>182</v>
      </c>
      <c r="F3" s="9" t="s">
        <v>183</v>
      </c>
    </row>
    <row r="4" spans="1:6">
      <c r="A4" s="9" t="s">
        <v>184</v>
      </c>
      <c r="B4" s="53">
        <v>135211</v>
      </c>
      <c r="C4" s="53">
        <v>18240000</v>
      </c>
      <c r="D4" s="53">
        <v>77070000</v>
      </c>
      <c r="E4" s="53">
        <v>12330000</v>
      </c>
      <c r="F4" s="9"/>
    </row>
    <row r="5" spans="1:6">
      <c r="A5" s="9" t="s">
        <v>185</v>
      </c>
      <c r="B5" s="53">
        <v>96854</v>
      </c>
      <c r="C5" s="53">
        <v>9240000</v>
      </c>
      <c r="D5" s="53">
        <v>55210000</v>
      </c>
      <c r="E5" s="53">
        <v>8830000</v>
      </c>
      <c r="F5" s="9"/>
    </row>
    <row r="6" spans="1:6">
      <c r="A6" s="9" t="s">
        <v>186</v>
      </c>
      <c r="B6" s="53">
        <v>112547</v>
      </c>
      <c r="C6" s="53">
        <v>14400000</v>
      </c>
      <c r="D6" s="53">
        <v>64150000</v>
      </c>
      <c r="E6" s="53">
        <v>10260000</v>
      </c>
      <c r="F6" s="9" t="s">
        <v>187</v>
      </c>
    </row>
    <row r="7" spans="1:6">
      <c r="A7" s="9" t="s">
        <v>188</v>
      </c>
      <c r="B7" s="53">
        <v>88614</v>
      </c>
      <c r="C7" s="53">
        <v>8710000</v>
      </c>
      <c r="D7" s="53">
        <v>50510000</v>
      </c>
      <c r="E7" s="53">
        <v>8080000</v>
      </c>
      <c r="F7" s="9"/>
    </row>
    <row r="8" spans="1:6">
      <c r="A8" s="9" t="s">
        <v>189</v>
      </c>
      <c r="B8" s="53">
        <v>76200</v>
      </c>
      <c r="C8" s="53">
        <v>6250000</v>
      </c>
      <c r="D8" s="53">
        <v>43430000</v>
      </c>
      <c r="E8" s="53">
        <v>6950000</v>
      </c>
      <c r="F8" s="9"/>
    </row>
    <row r="9" spans="1:6">
      <c r="A9" s="9" t="s">
        <v>190</v>
      </c>
      <c r="B9" s="53">
        <v>96726</v>
      </c>
      <c r="C9" s="53">
        <v>10950000</v>
      </c>
      <c r="D9" s="53">
        <v>55130000</v>
      </c>
      <c r="E9" s="53">
        <v>8820000</v>
      </c>
      <c r="F9" s="9" t="s">
        <v>187</v>
      </c>
    </row>
    <row r="10" spans="1:6">
      <c r="A10" s="9" t="s">
        <v>191</v>
      </c>
      <c r="B10" s="53">
        <v>83671</v>
      </c>
      <c r="C10" s="53">
        <v>9120000</v>
      </c>
      <c r="D10" s="53">
        <v>47690000</v>
      </c>
      <c r="E10" s="53">
        <v>7630000</v>
      </c>
      <c r="F10" s="9"/>
    </row>
    <row r="11" spans="1:6">
      <c r="A11" s="9" t="s">
        <v>192</v>
      </c>
      <c r="B11" s="53">
        <v>154789</v>
      </c>
      <c r="C11" s="53">
        <v>16400000</v>
      </c>
      <c r="D11" s="53">
        <v>88230000</v>
      </c>
      <c r="E11" s="53">
        <v>14120000</v>
      </c>
      <c r="F11" s="9"/>
    </row>
    <row r="12" spans="1:6">
      <c r="A12" s="9" t="s">
        <v>193</v>
      </c>
      <c r="B12" s="53">
        <v>160643</v>
      </c>
      <c r="C12" s="53">
        <v>17620000</v>
      </c>
      <c r="D12" s="53">
        <v>91570000</v>
      </c>
      <c r="E12" s="53">
        <v>14650000</v>
      </c>
      <c r="F12" s="9" t="s">
        <v>187</v>
      </c>
    </row>
    <row r="13" spans="1:6">
      <c r="A13" s="9" t="s">
        <v>194</v>
      </c>
      <c r="B13" s="53">
        <v>126755</v>
      </c>
      <c r="C13" s="53">
        <v>16840000</v>
      </c>
      <c r="D13" s="53">
        <v>72250000</v>
      </c>
      <c r="E13" s="53">
        <v>11560000</v>
      </c>
      <c r="F13" s="9"/>
    </row>
    <row r="14" spans="1:6">
      <c r="A14" s="9" t="s">
        <v>195</v>
      </c>
      <c r="B14" s="53">
        <v>76925</v>
      </c>
      <c r="C14" s="53">
        <v>9600000</v>
      </c>
      <c r="D14" s="53">
        <v>43850000</v>
      </c>
      <c r="E14" s="53">
        <v>7020000</v>
      </c>
      <c r="F14" s="9" t="s">
        <v>187</v>
      </c>
    </row>
    <row r="15" spans="1:6">
      <c r="A15" s="9" t="s">
        <v>196</v>
      </c>
      <c r="B15" s="53">
        <v>139574</v>
      </c>
      <c r="C15" s="53">
        <v>16520000</v>
      </c>
      <c r="D15" s="53">
        <v>79560000</v>
      </c>
      <c r="E15" s="53">
        <v>12730000</v>
      </c>
      <c r="F15" s="9"/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9"/>
  <sheetViews>
    <sheetView topLeftCell="A5" zoomScale="120" zoomScaleNormal="120" workbookViewId="0">
      <selection activeCell="D10" sqref="D10"/>
    </sheetView>
  </sheetViews>
  <sheetFormatPr defaultRowHeight="16.5"/>
  <cols>
    <col min="1" max="1" width="9.875" bestFit="1" customWidth="1"/>
    <col min="2" max="2" width="10.5" bestFit="1" customWidth="1"/>
    <col min="3" max="3" width="15.125" customWidth="1"/>
    <col min="4" max="4" width="10.5" bestFit="1" customWidth="1"/>
    <col min="9" max="10" width="10.625" bestFit="1" customWidth="1"/>
  </cols>
  <sheetData>
    <row r="1" spans="1:10">
      <c r="A1" s="1" t="s">
        <v>0</v>
      </c>
      <c r="B1" s="2"/>
      <c r="C1" s="2"/>
      <c r="D1" s="2"/>
      <c r="E1" s="2"/>
      <c r="F1" s="3" t="s">
        <v>1</v>
      </c>
      <c r="G1" s="2"/>
      <c r="H1" s="2"/>
      <c r="I1" s="2"/>
      <c r="J1" s="2"/>
    </row>
    <row r="2" spans="1:10">
      <c r="A2" s="33" t="s">
        <v>2</v>
      </c>
      <c r="B2" s="33" t="s">
        <v>3</v>
      </c>
      <c r="C2" s="33" t="s">
        <v>4</v>
      </c>
      <c r="D2" s="33" t="s">
        <v>5</v>
      </c>
      <c r="E2" s="2"/>
      <c r="F2" s="33" t="s">
        <v>3</v>
      </c>
      <c r="G2" s="33" t="s">
        <v>6</v>
      </c>
      <c r="H2" s="33" t="s">
        <v>7</v>
      </c>
      <c r="I2" s="33" t="s">
        <v>120</v>
      </c>
      <c r="J2" s="34" t="s">
        <v>121</v>
      </c>
    </row>
    <row r="3" spans="1:10">
      <c r="A3" s="4" t="s">
        <v>8</v>
      </c>
      <c r="B3" s="4" t="s">
        <v>9</v>
      </c>
      <c r="C3" s="5">
        <v>28561500</v>
      </c>
      <c r="D3" s="6"/>
      <c r="E3" s="2"/>
      <c r="F3" s="4" t="s">
        <v>132</v>
      </c>
      <c r="G3" s="4" t="s">
        <v>133</v>
      </c>
      <c r="H3" s="4" t="s">
        <v>134</v>
      </c>
      <c r="I3" s="5">
        <v>3560000</v>
      </c>
      <c r="J3" s="5">
        <v>2512000</v>
      </c>
    </row>
    <row r="4" spans="1:10">
      <c r="A4" s="4" t="s">
        <v>10</v>
      </c>
      <c r="B4" s="4" t="s">
        <v>11</v>
      </c>
      <c r="C4" s="5">
        <v>38651200</v>
      </c>
      <c r="D4" s="6"/>
      <c r="E4" s="2"/>
      <c r="F4" s="4" t="s">
        <v>135</v>
      </c>
      <c r="G4" s="4" t="s">
        <v>136</v>
      </c>
      <c r="H4" s="4" t="s">
        <v>137</v>
      </c>
      <c r="I4" s="5">
        <v>3256000</v>
      </c>
      <c r="J4" s="5">
        <v>1826000</v>
      </c>
    </row>
    <row r="5" spans="1:10">
      <c r="A5" s="4" t="s">
        <v>12</v>
      </c>
      <c r="B5" s="4" t="s">
        <v>13</v>
      </c>
      <c r="C5" s="5">
        <v>19560000</v>
      </c>
      <c r="D5" s="6"/>
      <c r="E5" s="2"/>
      <c r="F5" s="4" t="s">
        <v>138</v>
      </c>
      <c r="G5" s="4" t="s">
        <v>139</v>
      </c>
      <c r="H5" s="4" t="s">
        <v>140</v>
      </c>
      <c r="I5" s="5">
        <v>2560000</v>
      </c>
      <c r="J5" s="5">
        <v>1282000</v>
      </c>
    </row>
    <row r="6" spans="1:10">
      <c r="A6" s="4" t="s">
        <v>14</v>
      </c>
      <c r="B6" s="4" t="s">
        <v>15</v>
      </c>
      <c r="C6" s="5">
        <v>32470000</v>
      </c>
      <c r="D6" s="6"/>
      <c r="E6" s="2"/>
      <c r="F6" s="4" t="s">
        <v>141</v>
      </c>
      <c r="G6" s="4" t="s">
        <v>136</v>
      </c>
      <c r="H6" s="4" t="s">
        <v>142</v>
      </c>
      <c r="I6" s="5">
        <v>3075000</v>
      </c>
      <c r="J6" s="5">
        <v>1568000</v>
      </c>
    </row>
    <row r="7" spans="1:10">
      <c r="A7" s="4" t="s">
        <v>16</v>
      </c>
      <c r="B7" s="4" t="s">
        <v>17</v>
      </c>
      <c r="C7" s="5">
        <v>56587200</v>
      </c>
      <c r="D7" s="6" t="s">
        <v>18</v>
      </c>
      <c r="E7" s="2"/>
      <c r="F7" s="4" t="s">
        <v>143</v>
      </c>
      <c r="G7" s="4" t="s">
        <v>136</v>
      </c>
      <c r="H7" s="4" t="s">
        <v>144</v>
      </c>
      <c r="I7" s="5">
        <v>2856000</v>
      </c>
      <c r="J7" s="5">
        <v>1240000</v>
      </c>
    </row>
    <row r="8" spans="1:10">
      <c r="A8" s="4" t="s">
        <v>19</v>
      </c>
      <c r="B8" s="4" t="s">
        <v>20</v>
      </c>
      <c r="C8" s="5">
        <v>36521700</v>
      </c>
      <c r="D8" s="6"/>
      <c r="E8" s="2"/>
      <c r="F8" s="4" t="s">
        <v>145</v>
      </c>
      <c r="G8" s="4" t="s">
        <v>133</v>
      </c>
      <c r="H8" s="4" t="s">
        <v>140</v>
      </c>
      <c r="I8" s="5">
        <v>2473000</v>
      </c>
      <c r="J8" s="5">
        <v>1195000</v>
      </c>
    </row>
    <row r="9" spans="1:10">
      <c r="A9" s="4" t="s">
        <v>21</v>
      </c>
      <c r="B9" s="4" t="s">
        <v>22</v>
      </c>
      <c r="C9" s="5">
        <v>52438600</v>
      </c>
      <c r="D9" s="4" t="s">
        <v>23</v>
      </c>
      <c r="E9" s="2"/>
      <c r="F9" s="4" t="s">
        <v>146</v>
      </c>
      <c r="G9" s="4" t="s">
        <v>139</v>
      </c>
      <c r="H9" s="4" t="s">
        <v>140</v>
      </c>
      <c r="I9" s="5">
        <v>2372000</v>
      </c>
      <c r="J9" s="5">
        <v>1153000</v>
      </c>
    </row>
    <row r="10" spans="1:10">
      <c r="A10" s="4" t="s">
        <v>24</v>
      </c>
      <c r="B10" s="4" t="s">
        <v>25</v>
      </c>
      <c r="C10" s="5">
        <v>37542300</v>
      </c>
      <c r="D10" s="4"/>
      <c r="E10" s="2"/>
      <c r="F10" s="4" t="s">
        <v>147</v>
      </c>
      <c r="G10" s="4" t="s">
        <v>133</v>
      </c>
      <c r="H10" s="4" t="s">
        <v>144</v>
      </c>
      <c r="I10" s="5">
        <v>2903000</v>
      </c>
      <c r="J10" s="5">
        <v>1200000</v>
      </c>
    </row>
    <row r="11" spans="1:10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6.5" customHeight="1">
      <c r="A12" s="4"/>
      <c r="B12" s="2"/>
      <c r="C12" s="46" t="s">
        <v>131</v>
      </c>
      <c r="D12" s="2"/>
      <c r="E12" s="2"/>
      <c r="F12" s="47" t="s">
        <v>149</v>
      </c>
      <c r="G12" s="47"/>
      <c r="H12" s="47"/>
      <c r="I12" s="47"/>
      <c r="J12" s="45"/>
    </row>
    <row r="13" spans="1:10">
      <c r="A13" s="4"/>
      <c r="B13" s="2"/>
      <c r="C13" s="5"/>
      <c r="D13" s="2"/>
      <c r="E13" s="2"/>
      <c r="F13" s="47"/>
      <c r="G13" s="47"/>
      <c r="H13" s="47"/>
      <c r="I13" s="47"/>
      <c r="J13" s="45"/>
    </row>
    <row r="14" spans="1:10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>
      <c r="A15" s="1" t="s">
        <v>26</v>
      </c>
      <c r="B15" s="2"/>
      <c r="C15" s="2"/>
      <c r="D15" s="2"/>
      <c r="E15" s="2"/>
      <c r="F15" s="1" t="s">
        <v>27</v>
      </c>
      <c r="G15" s="2"/>
      <c r="H15" s="2"/>
      <c r="I15" s="2"/>
      <c r="J15" s="2"/>
    </row>
    <row r="16" spans="1:10">
      <c r="A16" s="33" t="s">
        <v>28</v>
      </c>
      <c r="B16" s="33" t="s">
        <v>29</v>
      </c>
      <c r="C16" s="33" t="s">
        <v>30</v>
      </c>
      <c r="D16" s="48" t="s">
        <v>31</v>
      </c>
      <c r="E16" s="49" t="s">
        <v>162</v>
      </c>
      <c r="F16" s="33" t="s">
        <v>29</v>
      </c>
      <c r="G16" s="35" t="s">
        <v>32</v>
      </c>
      <c r="H16" s="35" t="s">
        <v>33</v>
      </c>
      <c r="I16" s="33" t="s">
        <v>34</v>
      </c>
      <c r="J16" s="48" t="s">
        <v>35</v>
      </c>
    </row>
    <row r="17" spans="1:10">
      <c r="A17" s="8" t="s">
        <v>36</v>
      </c>
      <c r="B17" s="4" t="s">
        <v>37</v>
      </c>
      <c r="C17" s="19" t="s">
        <v>155</v>
      </c>
      <c r="D17" s="4"/>
      <c r="E17" s="2"/>
      <c r="F17" s="4" t="s">
        <v>38</v>
      </c>
      <c r="G17" s="7">
        <v>82</v>
      </c>
      <c r="H17" s="7">
        <v>94</v>
      </c>
      <c r="I17" s="4">
        <f t="shared" ref="I17:I24" si="0">SUM(G17:H17)</f>
        <v>176</v>
      </c>
      <c r="J17" s="4"/>
    </row>
    <row r="18" spans="1:10">
      <c r="A18" s="8" t="s">
        <v>39</v>
      </c>
      <c r="B18" s="4" t="s">
        <v>40</v>
      </c>
      <c r="C18" s="19" t="s">
        <v>156</v>
      </c>
      <c r="D18" s="4"/>
      <c r="E18" s="2"/>
      <c r="F18" s="4" t="s">
        <v>41</v>
      </c>
      <c r="G18" s="7">
        <v>63</v>
      </c>
      <c r="H18" s="7">
        <v>83</v>
      </c>
      <c r="I18" s="4">
        <f t="shared" si="0"/>
        <v>146</v>
      </c>
      <c r="J18" s="4"/>
    </row>
    <row r="19" spans="1:10">
      <c r="A19" s="8" t="s">
        <v>42</v>
      </c>
      <c r="B19" s="4" t="s">
        <v>43</v>
      </c>
      <c r="C19" s="19" t="s">
        <v>157</v>
      </c>
      <c r="D19" s="4"/>
      <c r="E19" s="2"/>
      <c r="F19" s="4" t="s">
        <v>44</v>
      </c>
      <c r="G19" s="7">
        <v>76</v>
      </c>
      <c r="H19" s="7">
        <v>86</v>
      </c>
      <c r="I19" s="4">
        <f t="shared" si="0"/>
        <v>162</v>
      </c>
      <c r="J19" s="4"/>
    </row>
    <row r="20" spans="1:10">
      <c r="A20" s="8" t="s">
        <v>45</v>
      </c>
      <c r="B20" s="4" t="s">
        <v>46</v>
      </c>
      <c r="C20" s="19" t="s">
        <v>158</v>
      </c>
      <c r="D20" s="4"/>
      <c r="E20" s="2"/>
      <c r="F20" s="4" t="s">
        <v>47</v>
      </c>
      <c r="G20" s="7">
        <v>62</v>
      </c>
      <c r="H20" s="7">
        <v>88</v>
      </c>
      <c r="I20" s="4">
        <f t="shared" si="0"/>
        <v>150</v>
      </c>
      <c r="J20" s="4"/>
    </row>
    <row r="21" spans="1:10">
      <c r="A21" s="8" t="s">
        <v>48</v>
      </c>
      <c r="B21" s="4" t="s">
        <v>49</v>
      </c>
      <c r="C21" s="19" t="s">
        <v>159</v>
      </c>
      <c r="D21" s="4"/>
      <c r="E21" s="2"/>
      <c r="F21" s="4" t="s">
        <v>50</v>
      </c>
      <c r="G21" s="7">
        <v>92</v>
      </c>
      <c r="H21" s="7">
        <v>96</v>
      </c>
      <c r="I21" s="4">
        <f t="shared" si="0"/>
        <v>188</v>
      </c>
      <c r="J21" s="4"/>
    </row>
    <row r="22" spans="1:10">
      <c r="A22" s="8" t="s">
        <v>51</v>
      </c>
      <c r="B22" s="4" t="s">
        <v>52</v>
      </c>
      <c r="C22" s="20" t="s">
        <v>53</v>
      </c>
      <c r="D22" s="4"/>
      <c r="E22" s="2"/>
      <c r="F22" s="4" t="s">
        <v>54</v>
      </c>
      <c r="G22" s="7">
        <v>85</v>
      </c>
      <c r="H22" s="7">
        <v>80</v>
      </c>
      <c r="I22" s="4">
        <f t="shared" si="0"/>
        <v>165</v>
      </c>
      <c r="J22" s="4"/>
    </row>
    <row r="23" spans="1:10">
      <c r="A23" s="8" t="s">
        <v>55</v>
      </c>
      <c r="B23" s="4" t="s">
        <v>56</v>
      </c>
      <c r="C23" s="19" t="s">
        <v>160</v>
      </c>
      <c r="D23" s="4"/>
      <c r="E23" s="2"/>
      <c r="F23" s="4" t="s">
        <v>57</v>
      </c>
      <c r="G23" s="7">
        <v>62</v>
      </c>
      <c r="H23" s="7">
        <v>77</v>
      </c>
      <c r="I23" s="4">
        <f t="shared" si="0"/>
        <v>139</v>
      </c>
      <c r="J23" s="4"/>
    </row>
    <row r="24" spans="1:10">
      <c r="A24" s="8" t="s">
        <v>58</v>
      </c>
      <c r="B24" s="4" t="s">
        <v>59</v>
      </c>
      <c r="C24" s="19" t="s">
        <v>161</v>
      </c>
      <c r="D24" s="4"/>
      <c r="E24" s="2"/>
      <c r="F24" s="4" t="s">
        <v>60</v>
      </c>
      <c r="G24" s="7">
        <v>73</v>
      </c>
      <c r="H24" s="7">
        <v>68</v>
      </c>
      <c r="I24" s="4">
        <f t="shared" si="0"/>
        <v>141</v>
      </c>
      <c r="J24" s="4"/>
    </row>
    <row r="25" spans="1:10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>
      <c r="A27" s="1" t="s">
        <v>61</v>
      </c>
      <c r="B27" s="2"/>
      <c r="C27" s="2"/>
      <c r="D27" s="2"/>
      <c r="E27" s="2"/>
      <c r="F27" s="2"/>
      <c r="G27" s="2"/>
      <c r="H27" s="2"/>
      <c r="I27" s="2"/>
      <c r="J27" s="2"/>
    </row>
    <row r="28" spans="1:10">
      <c r="A28" s="33" t="s">
        <v>62</v>
      </c>
      <c r="B28" s="33" t="s">
        <v>63</v>
      </c>
      <c r="C28" s="33" t="s">
        <v>64</v>
      </c>
      <c r="D28" s="48" t="s">
        <v>65</v>
      </c>
      <c r="E28" s="2"/>
      <c r="F28" s="2"/>
      <c r="G28" s="2"/>
      <c r="H28" s="2"/>
      <c r="I28" s="2"/>
    </row>
    <row r="29" spans="1:10">
      <c r="A29" s="4" t="s">
        <v>122</v>
      </c>
      <c r="B29" s="4" t="s">
        <v>66</v>
      </c>
      <c r="C29" s="4" t="s">
        <v>67</v>
      </c>
      <c r="D29" s="4"/>
      <c r="E29" s="2"/>
      <c r="F29" s="2"/>
      <c r="G29" s="2"/>
      <c r="H29" s="2"/>
      <c r="I29" s="2"/>
    </row>
    <row r="30" spans="1:10">
      <c r="A30" s="4" t="s">
        <v>123</v>
      </c>
      <c r="B30" s="4" t="s">
        <v>68</v>
      </c>
      <c r="C30" s="4" t="s">
        <v>69</v>
      </c>
      <c r="D30" s="4"/>
      <c r="E30" s="2"/>
      <c r="F30" s="2"/>
      <c r="G30" s="2"/>
      <c r="H30" s="2"/>
      <c r="I30" s="2"/>
    </row>
    <row r="31" spans="1:10">
      <c r="A31" s="4" t="s">
        <v>124</v>
      </c>
      <c r="B31" s="4" t="s">
        <v>70</v>
      </c>
      <c r="C31" s="4" t="s">
        <v>71</v>
      </c>
      <c r="D31" s="4"/>
      <c r="E31" s="2"/>
      <c r="F31" s="2"/>
      <c r="G31" s="2"/>
      <c r="H31" s="2"/>
      <c r="I31" s="2"/>
    </row>
    <row r="32" spans="1:10">
      <c r="A32" s="4" t="s">
        <v>125</v>
      </c>
      <c r="B32" s="4" t="s">
        <v>72</v>
      </c>
      <c r="C32" s="4" t="s">
        <v>73</v>
      </c>
      <c r="D32" s="4"/>
      <c r="E32" s="2"/>
      <c r="F32" s="2"/>
      <c r="G32" s="2"/>
      <c r="H32" s="2"/>
      <c r="I32" s="2"/>
    </row>
    <row r="33" spans="1:10">
      <c r="A33" s="4" t="s">
        <v>126</v>
      </c>
      <c r="B33" s="4" t="s">
        <v>74</v>
      </c>
      <c r="C33" s="4" t="s">
        <v>75</v>
      </c>
      <c r="D33" s="4"/>
      <c r="E33" s="2"/>
      <c r="F33" s="2"/>
      <c r="G33" s="2"/>
      <c r="H33" s="2"/>
      <c r="I33" s="2"/>
    </row>
    <row r="34" spans="1:10">
      <c r="A34" s="4" t="s">
        <v>127</v>
      </c>
      <c r="B34" s="4" t="s">
        <v>76</v>
      </c>
      <c r="C34" s="4" t="s">
        <v>77</v>
      </c>
      <c r="D34" s="4"/>
      <c r="E34" s="2"/>
      <c r="F34" s="2"/>
      <c r="G34" s="2"/>
      <c r="H34" s="2"/>
      <c r="I34" s="2"/>
    </row>
    <row r="35" spans="1:10">
      <c r="A35" s="4" t="s">
        <v>128</v>
      </c>
      <c r="B35" s="4" t="s">
        <v>78</v>
      </c>
      <c r="C35" s="4" t="s">
        <v>79</v>
      </c>
      <c r="D35" s="4"/>
      <c r="E35" s="2"/>
      <c r="F35" s="2"/>
      <c r="G35" s="2"/>
      <c r="H35" s="2"/>
      <c r="I35" s="2"/>
    </row>
    <row r="36" spans="1:10">
      <c r="A36" s="4" t="s">
        <v>129</v>
      </c>
      <c r="B36" s="4" t="s">
        <v>80</v>
      </c>
      <c r="C36" s="4" t="s">
        <v>81</v>
      </c>
      <c r="D36" s="4"/>
      <c r="E36" s="2"/>
      <c r="F36" s="2"/>
      <c r="G36" s="2"/>
      <c r="H36" s="2"/>
      <c r="I36" s="2"/>
    </row>
    <row r="37" spans="1:10" ht="17.25" thickBot="1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>
      <c r="A38" s="36" t="s">
        <v>82</v>
      </c>
      <c r="B38" s="27" t="s">
        <v>148</v>
      </c>
      <c r="C38" s="28" t="s">
        <v>84</v>
      </c>
      <c r="D38" s="29" t="s">
        <v>83</v>
      </c>
      <c r="E38" s="2"/>
      <c r="F38" s="2"/>
      <c r="G38" s="2"/>
      <c r="H38" s="2"/>
      <c r="I38" s="2"/>
      <c r="J38" s="2"/>
    </row>
    <row r="39" spans="1:10" ht="17.25" thickBot="1">
      <c r="A39" s="36" t="s">
        <v>85</v>
      </c>
      <c r="B39" s="30" t="s">
        <v>88</v>
      </c>
      <c r="C39" s="31" t="s">
        <v>87</v>
      </c>
      <c r="D39" s="32" t="s">
        <v>86</v>
      </c>
      <c r="E39" s="2"/>
      <c r="F39" s="2"/>
      <c r="G39" s="2"/>
      <c r="H39" s="2"/>
      <c r="I39" s="2"/>
      <c r="J39" s="2"/>
    </row>
  </sheetData>
  <mergeCells count="2">
    <mergeCell ref="F12:I13"/>
    <mergeCell ref="J12:J1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H14"/>
  <sheetViews>
    <sheetView zoomScale="120" zoomScaleNormal="120" workbookViewId="0">
      <selection activeCell="D10" sqref="D10"/>
    </sheetView>
  </sheetViews>
  <sheetFormatPr defaultRowHeight="16.5"/>
  <cols>
    <col min="2" max="2" width="11" bestFit="1" customWidth="1"/>
    <col min="4" max="4" width="10.875" bestFit="1" customWidth="1"/>
    <col min="5" max="5" width="9.125" bestFit="1" customWidth="1"/>
    <col min="7" max="8" width="10.875" bestFit="1" customWidth="1"/>
  </cols>
  <sheetData>
    <row r="1" spans="1:8" ht="20.25">
      <c r="A1" s="52" t="s">
        <v>197</v>
      </c>
      <c r="B1" s="52"/>
      <c r="C1" s="52"/>
      <c r="D1" s="52"/>
      <c r="E1" s="52"/>
      <c r="F1" s="52"/>
      <c r="G1" s="52"/>
      <c r="H1" s="52"/>
    </row>
    <row r="3" spans="1:8">
      <c r="A3" s="9" t="s">
        <v>198</v>
      </c>
      <c r="B3" s="9" t="s">
        <v>199</v>
      </c>
      <c r="C3" s="9" t="s">
        <v>200</v>
      </c>
      <c r="D3" s="9" t="s">
        <v>201</v>
      </c>
      <c r="E3" s="9" t="s">
        <v>202</v>
      </c>
      <c r="F3" s="9" t="s">
        <v>203</v>
      </c>
      <c r="G3" s="9" t="s">
        <v>204</v>
      </c>
      <c r="H3" s="9" t="s">
        <v>205</v>
      </c>
    </row>
    <row r="4" spans="1:8">
      <c r="A4" s="9" t="s">
        <v>206</v>
      </c>
      <c r="B4" s="9" t="s">
        <v>207</v>
      </c>
      <c r="C4" s="9" t="s">
        <v>184</v>
      </c>
      <c r="D4" s="53">
        <v>2640000</v>
      </c>
      <c r="E4" s="53">
        <v>19000</v>
      </c>
      <c r="F4" s="53">
        <v>211</v>
      </c>
      <c r="G4" s="53">
        <f>E4*F4</f>
        <v>4009000</v>
      </c>
      <c r="H4" s="53">
        <f>G4-D4</f>
        <v>1369000</v>
      </c>
    </row>
    <row r="5" spans="1:8">
      <c r="A5" s="9" t="s">
        <v>208</v>
      </c>
      <c r="B5" s="9" t="s">
        <v>209</v>
      </c>
      <c r="C5" s="9" t="s">
        <v>190</v>
      </c>
      <c r="D5" s="53">
        <v>2880000</v>
      </c>
      <c r="E5" s="53">
        <v>19000</v>
      </c>
      <c r="F5" s="53">
        <v>222</v>
      </c>
      <c r="G5" s="53">
        <f t="shared" ref="G5:G14" si="0">E5*F5</f>
        <v>4218000</v>
      </c>
      <c r="H5" s="53">
        <f t="shared" ref="H5:H14" si="1">G5-D5</f>
        <v>1338000</v>
      </c>
    </row>
    <row r="6" spans="1:8">
      <c r="A6" s="9" t="s">
        <v>210</v>
      </c>
      <c r="B6" s="9" t="s">
        <v>211</v>
      </c>
      <c r="C6" s="9" t="s">
        <v>212</v>
      </c>
      <c r="D6" s="53">
        <v>3105000</v>
      </c>
      <c r="E6" s="53">
        <v>21000</v>
      </c>
      <c r="F6" s="53">
        <v>198</v>
      </c>
      <c r="G6" s="53">
        <f t="shared" si="0"/>
        <v>4158000</v>
      </c>
      <c r="H6" s="53">
        <f t="shared" si="1"/>
        <v>1053000</v>
      </c>
    </row>
    <row r="7" spans="1:8">
      <c r="A7" s="9" t="s">
        <v>208</v>
      </c>
      <c r="B7" s="9" t="s">
        <v>213</v>
      </c>
      <c r="C7" s="9" t="s">
        <v>184</v>
      </c>
      <c r="D7" s="53">
        <v>2660000</v>
      </c>
      <c r="E7" s="53">
        <v>22000</v>
      </c>
      <c r="F7" s="53">
        <v>165</v>
      </c>
      <c r="G7" s="53">
        <f t="shared" si="0"/>
        <v>3630000</v>
      </c>
      <c r="H7" s="53">
        <f t="shared" si="1"/>
        <v>970000</v>
      </c>
    </row>
    <row r="8" spans="1:8">
      <c r="A8" s="9" t="s">
        <v>206</v>
      </c>
      <c r="B8" s="9" t="s">
        <v>214</v>
      </c>
      <c r="C8" s="9" t="s">
        <v>212</v>
      </c>
      <c r="D8" s="53">
        <v>2000000</v>
      </c>
      <c r="E8" s="53">
        <v>16000</v>
      </c>
      <c r="F8" s="53">
        <v>185</v>
      </c>
      <c r="G8" s="53">
        <f t="shared" si="0"/>
        <v>2960000</v>
      </c>
      <c r="H8" s="53">
        <f t="shared" si="1"/>
        <v>960000</v>
      </c>
    </row>
    <row r="9" spans="1:8">
      <c r="A9" s="9" t="s">
        <v>210</v>
      </c>
      <c r="B9" s="9" t="s">
        <v>215</v>
      </c>
      <c r="C9" s="9" t="s">
        <v>212</v>
      </c>
      <c r="D9" s="53">
        <v>2070000</v>
      </c>
      <c r="E9" s="53">
        <v>18000</v>
      </c>
      <c r="F9" s="53">
        <v>168</v>
      </c>
      <c r="G9" s="53">
        <f t="shared" si="0"/>
        <v>3024000</v>
      </c>
      <c r="H9" s="53">
        <f t="shared" si="1"/>
        <v>954000</v>
      </c>
    </row>
    <row r="10" spans="1:8">
      <c r="A10" s="9" t="s">
        <v>210</v>
      </c>
      <c r="B10" s="9" t="s">
        <v>216</v>
      </c>
      <c r="C10" s="9" t="s">
        <v>190</v>
      </c>
      <c r="D10" s="53">
        <v>2730000</v>
      </c>
      <c r="E10" s="53">
        <v>20000</v>
      </c>
      <c r="F10" s="53">
        <v>183</v>
      </c>
      <c r="G10" s="53">
        <f t="shared" si="0"/>
        <v>3660000</v>
      </c>
      <c r="H10" s="53">
        <f t="shared" si="1"/>
        <v>930000</v>
      </c>
    </row>
    <row r="11" spans="1:8">
      <c r="A11" s="9" t="s">
        <v>206</v>
      </c>
      <c r="B11" s="9" t="s">
        <v>217</v>
      </c>
      <c r="C11" s="9" t="s">
        <v>190</v>
      </c>
      <c r="D11" s="53">
        <v>2400000</v>
      </c>
      <c r="E11" s="53">
        <v>19000</v>
      </c>
      <c r="F11" s="53">
        <v>175</v>
      </c>
      <c r="G11" s="53">
        <f t="shared" si="0"/>
        <v>3325000</v>
      </c>
      <c r="H11" s="53">
        <f t="shared" si="1"/>
        <v>925000</v>
      </c>
    </row>
    <row r="12" spans="1:8">
      <c r="A12" s="9" t="s">
        <v>208</v>
      </c>
      <c r="B12" s="9" t="s">
        <v>218</v>
      </c>
      <c r="C12" s="9" t="s">
        <v>184</v>
      </c>
      <c r="D12" s="53">
        <v>1890000</v>
      </c>
      <c r="E12" s="53">
        <v>16000</v>
      </c>
      <c r="F12" s="53">
        <v>166</v>
      </c>
      <c r="G12" s="53">
        <f t="shared" si="0"/>
        <v>2656000</v>
      </c>
      <c r="H12" s="53">
        <f t="shared" si="1"/>
        <v>766000</v>
      </c>
    </row>
    <row r="13" spans="1:8">
      <c r="A13" s="9" t="s">
        <v>208</v>
      </c>
      <c r="B13" s="9" t="s">
        <v>219</v>
      </c>
      <c r="C13" s="9" t="s">
        <v>190</v>
      </c>
      <c r="D13" s="53">
        <v>1890000</v>
      </c>
      <c r="E13" s="53">
        <v>16000</v>
      </c>
      <c r="F13" s="53">
        <v>145</v>
      </c>
      <c r="G13" s="53">
        <f t="shared" si="0"/>
        <v>2320000</v>
      </c>
      <c r="H13" s="53">
        <f t="shared" si="1"/>
        <v>430000</v>
      </c>
    </row>
    <row r="14" spans="1:8">
      <c r="A14" s="9" t="s">
        <v>206</v>
      </c>
      <c r="B14" s="9" t="s">
        <v>220</v>
      </c>
      <c r="C14" s="9" t="s">
        <v>212</v>
      </c>
      <c r="D14" s="53">
        <v>1900000</v>
      </c>
      <c r="E14" s="53">
        <v>16000</v>
      </c>
      <c r="F14" s="53">
        <v>135</v>
      </c>
      <c r="G14" s="53">
        <f t="shared" si="0"/>
        <v>2160000</v>
      </c>
      <c r="H14" s="53">
        <f t="shared" si="1"/>
        <v>260000</v>
      </c>
    </row>
  </sheetData>
  <mergeCells count="1">
    <mergeCell ref="A1:H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2"/>
  <sheetViews>
    <sheetView zoomScale="120" zoomScaleNormal="120" workbookViewId="0">
      <selection activeCell="D10" sqref="D10"/>
    </sheetView>
  </sheetViews>
  <sheetFormatPr defaultRowHeight="16.5"/>
  <sheetData>
    <row r="1" spans="1:7" ht="20.25">
      <c r="A1" s="52" t="s">
        <v>221</v>
      </c>
      <c r="B1" s="52"/>
      <c r="C1" s="52"/>
      <c r="D1" s="52"/>
      <c r="E1" s="52"/>
      <c r="F1" s="52"/>
      <c r="G1" s="52"/>
    </row>
    <row r="3" spans="1:7">
      <c r="A3" s="9" t="s">
        <v>222</v>
      </c>
      <c r="B3" s="9" t="s">
        <v>223</v>
      </c>
      <c r="C3" s="9" t="s">
        <v>224</v>
      </c>
      <c r="D3" s="9" t="s">
        <v>225</v>
      </c>
      <c r="E3" s="9" t="s">
        <v>226</v>
      </c>
      <c r="F3" s="9" t="s">
        <v>227</v>
      </c>
      <c r="G3" s="9" t="s">
        <v>228</v>
      </c>
    </row>
    <row r="4" spans="1:7">
      <c r="A4" s="9" t="s">
        <v>229</v>
      </c>
      <c r="B4" s="9" t="s">
        <v>230</v>
      </c>
      <c r="C4" s="9">
        <v>79</v>
      </c>
      <c r="D4" s="9">
        <v>77</v>
      </c>
      <c r="E4" s="9">
        <v>84</v>
      </c>
      <c r="F4" s="9">
        <v>73</v>
      </c>
      <c r="G4" s="54">
        <f>AVERAGE(C4:F4)</f>
        <v>78.25</v>
      </c>
    </row>
    <row r="5" spans="1:7">
      <c r="A5" s="9" t="s">
        <v>231</v>
      </c>
      <c r="B5" s="9" t="s">
        <v>232</v>
      </c>
      <c r="C5" s="9">
        <v>83</v>
      </c>
      <c r="D5" s="9">
        <v>91</v>
      </c>
      <c r="E5" s="9">
        <v>90</v>
      </c>
      <c r="F5" s="9">
        <v>89</v>
      </c>
      <c r="G5" s="54">
        <f t="shared" ref="G5:G12" si="0">AVERAGE(C5:F5)</f>
        <v>88.25</v>
      </c>
    </row>
    <row r="6" spans="1:7">
      <c r="A6" s="9" t="s">
        <v>233</v>
      </c>
      <c r="B6" s="9" t="s">
        <v>234</v>
      </c>
      <c r="C6" s="9">
        <v>94</v>
      </c>
      <c r="D6" s="9">
        <v>95</v>
      </c>
      <c r="E6" s="9">
        <v>96</v>
      </c>
      <c r="F6" s="9">
        <v>97</v>
      </c>
      <c r="G6" s="54">
        <f t="shared" si="0"/>
        <v>95.5</v>
      </c>
    </row>
    <row r="7" spans="1:7">
      <c r="A7" s="9" t="s">
        <v>235</v>
      </c>
      <c r="B7" s="9" t="s">
        <v>232</v>
      </c>
      <c r="C7" s="9">
        <v>92</v>
      </c>
      <c r="D7" s="9">
        <v>90</v>
      </c>
      <c r="E7" s="9">
        <v>93</v>
      </c>
      <c r="F7" s="9">
        <v>91</v>
      </c>
      <c r="G7" s="54">
        <f t="shared" si="0"/>
        <v>91.5</v>
      </c>
    </row>
    <row r="8" spans="1:7">
      <c r="A8" s="9" t="s">
        <v>236</v>
      </c>
      <c r="B8" s="9" t="s">
        <v>234</v>
      </c>
      <c r="C8" s="9">
        <v>88</v>
      </c>
      <c r="D8" s="9">
        <v>93</v>
      </c>
      <c r="E8" s="9">
        <v>83</v>
      </c>
      <c r="F8" s="9">
        <v>89</v>
      </c>
      <c r="G8" s="54">
        <f t="shared" si="0"/>
        <v>88.25</v>
      </c>
    </row>
    <row r="9" spans="1:7">
      <c r="A9" s="9" t="s">
        <v>237</v>
      </c>
      <c r="B9" s="9" t="s">
        <v>230</v>
      </c>
      <c r="C9" s="9">
        <v>91</v>
      </c>
      <c r="D9" s="9">
        <v>94</v>
      </c>
      <c r="E9" s="9">
        <v>88</v>
      </c>
      <c r="F9" s="9">
        <v>90</v>
      </c>
      <c r="G9" s="54">
        <f t="shared" si="0"/>
        <v>90.75</v>
      </c>
    </row>
    <row r="10" spans="1:7">
      <c r="A10" s="9" t="s">
        <v>238</v>
      </c>
      <c r="B10" s="9" t="s">
        <v>230</v>
      </c>
      <c r="C10" s="9">
        <v>83</v>
      </c>
      <c r="D10" s="9">
        <v>76</v>
      </c>
      <c r="E10" s="9">
        <v>80</v>
      </c>
      <c r="F10" s="9">
        <v>92</v>
      </c>
      <c r="G10" s="54">
        <f t="shared" si="0"/>
        <v>82.75</v>
      </c>
    </row>
    <row r="11" spans="1:7">
      <c r="A11" s="9" t="s">
        <v>239</v>
      </c>
      <c r="B11" s="9" t="s">
        <v>234</v>
      </c>
      <c r="C11" s="9">
        <v>91</v>
      </c>
      <c r="D11" s="9">
        <v>83</v>
      </c>
      <c r="E11" s="9">
        <v>90</v>
      </c>
      <c r="F11" s="9">
        <v>87</v>
      </c>
      <c r="G11" s="54">
        <f t="shared" si="0"/>
        <v>87.75</v>
      </c>
    </row>
    <row r="12" spans="1:7">
      <c r="A12" s="9" t="s">
        <v>240</v>
      </c>
      <c r="B12" s="9" t="s">
        <v>232</v>
      </c>
      <c r="C12" s="9">
        <v>72</v>
      </c>
      <c r="D12" s="9">
        <v>69</v>
      </c>
      <c r="E12" s="9">
        <v>76</v>
      </c>
      <c r="F12" s="9">
        <v>65</v>
      </c>
      <c r="G12" s="54">
        <f t="shared" si="0"/>
        <v>70.5</v>
      </c>
    </row>
  </sheetData>
  <sortState xmlns:xlrd2="http://schemas.microsoft.com/office/spreadsheetml/2017/richdata2" ref="A4:G17">
    <sortCondition ref="B5"/>
  </sortState>
  <mergeCells count="1">
    <mergeCell ref="A1:G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5"/>
  <sheetViews>
    <sheetView zoomScale="120" zoomScaleNormal="120" workbookViewId="0">
      <selection activeCell="D10" sqref="D10"/>
    </sheetView>
  </sheetViews>
  <sheetFormatPr defaultRowHeight="16.5"/>
  <cols>
    <col min="1" max="1" width="13.625" customWidth="1"/>
  </cols>
  <sheetData>
    <row r="1" spans="1:14">
      <c r="A1" s="3" t="s">
        <v>130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</row>
    <row r="2" spans="1:14">
      <c r="A2" s="10"/>
      <c r="B2" s="43"/>
      <c r="C2" s="43"/>
      <c r="D2" s="43"/>
      <c r="E2" s="43"/>
      <c r="F2" s="43"/>
      <c r="G2" s="10"/>
      <c r="H2" s="10"/>
      <c r="I2" s="10"/>
      <c r="J2" s="10"/>
      <c r="K2" s="10"/>
      <c r="L2" s="10"/>
      <c r="M2" s="10"/>
      <c r="N2" s="10"/>
    </row>
    <row r="3" spans="1:14">
      <c r="A3" s="37" t="s">
        <v>89</v>
      </c>
      <c r="B3" s="38" t="s">
        <v>90</v>
      </c>
      <c r="C3" s="38" t="s">
        <v>91</v>
      </c>
      <c r="D3" s="38" t="s">
        <v>92</v>
      </c>
      <c r="E3" s="38" t="s">
        <v>93</v>
      </c>
      <c r="F3" s="38" t="s">
        <v>94</v>
      </c>
      <c r="G3" s="37" t="s">
        <v>95</v>
      </c>
      <c r="H3" s="37" t="s">
        <v>96</v>
      </c>
      <c r="I3" s="37" t="s">
        <v>97</v>
      </c>
      <c r="J3" s="37" t="s">
        <v>98</v>
      </c>
      <c r="K3" s="37" t="s">
        <v>99</v>
      </c>
      <c r="L3" s="37" t="s">
        <v>100</v>
      </c>
      <c r="M3" s="39" t="s">
        <v>101</v>
      </c>
      <c r="N3" s="40" t="s">
        <v>102</v>
      </c>
    </row>
    <row r="4" spans="1:14">
      <c r="A4" s="13" t="s">
        <v>103</v>
      </c>
      <c r="B4" s="21">
        <v>1239</v>
      </c>
      <c r="C4" s="21">
        <v>1006</v>
      </c>
      <c r="D4" s="21">
        <v>853</v>
      </c>
      <c r="E4" s="21">
        <v>786</v>
      </c>
      <c r="F4" s="21">
        <v>795</v>
      </c>
      <c r="G4" s="14">
        <v>835</v>
      </c>
      <c r="H4" s="14">
        <v>1156</v>
      </c>
      <c r="I4" s="14">
        <v>924</v>
      </c>
      <c r="J4" s="14">
        <v>683</v>
      </c>
      <c r="K4" s="14">
        <v>664</v>
      </c>
      <c r="L4" s="14">
        <v>763</v>
      </c>
      <c r="M4" s="15">
        <v>959</v>
      </c>
      <c r="N4" s="16"/>
    </row>
    <row r="5" spans="1:14">
      <c r="A5" s="13" t="s">
        <v>104</v>
      </c>
      <c r="B5" s="21">
        <v>537</v>
      </c>
      <c r="C5" s="21">
        <v>372</v>
      </c>
      <c r="D5" s="21">
        <v>332</v>
      </c>
      <c r="E5" s="21">
        <v>330</v>
      </c>
      <c r="F5" s="21">
        <v>306</v>
      </c>
      <c r="G5" s="14">
        <v>265</v>
      </c>
      <c r="H5" s="14">
        <v>313</v>
      </c>
      <c r="I5" s="14">
        <v>289</v>
      </c>
      <c r="J5" s="14">
        <v>306</v>
      </c>
      <c r="K5" s="14">
        <v>320</v>
      </c>
      <c r="L5" s="14">
        <v>292</v>
      </c>
      <c r="M5" s="15">
        <v>410</v>
      </c>
      <c r="N5" s="16"/>
    </row>
    <row r="6" spans="1:14">
      <c r="A6" s="13" t="s">
        <v>105</v>
      </c>
      <c r="B6" s="21">
        <v>26</v>
      </c>
      <c r="C6" s="21">
        <v>26</v>
      </c>
      <c r="D6" s="21">
        <v>22</v>
      </c>
      <c r="E6" s="21">
        <v>28</v>
      </c>
      <c r="F6" s="21">
        <v>19</v>
      </c>
      <c r="G6" s="14">
        <v>36</v>
      </c>
      <c r="H6" s="14">
        <v>28</v>
      </c>
      <c r="I6" s="14">
        <v>26</v>
      </c>
      <c r="J6" s="14">
        <v>26</v>
      </c>
      <c r="K6" s="14">
        <v>14</v>
      </c>
      <c r="L6" s="14">
        <v>30</v>
      </c>
      <c r="M6" s="15">
        <v>18</v>
      </c>
      <c r="N6" s="16"/>
    </row>
    <row r="7" spans="1:14">
      <c r="A7" s="13" t="s">
        <v>106</v>
      </c>
      <c r="B7" s="21">
        <v>26</v>
      </c>
      <c r="C7" s="21">
        <v>22</v>
      </c>
      <c r="D7" s="21">
        <v>8</v>
      </c>
      <c r="E7" s="21">
        <v>19</v>
      </c>
      <c r="F7" s="21">
        <v>13</v>
      </c>
      <c r="G7" s="14">
        <v>16</v>
      </c>
      <c r="H7" s="14">
        <v>17</v>
      </c>
      <c r="I7" s="14">
        <v>17</v>
      </c>
      <c r="J7" s="14">
        <v>11</v>
      </c>
      <c r="K7" s="14">
        <v>23</v>
      </c>
      <c r="L7" s="14">
        <v>23</v>
      </c>
      <c r="M7" s="15">
        <v>22</v>
      </c>
      <c r="N7" s="16"/>
    </row>
    <row r="8" spans="1:14">
      <c r="A8" s="13" t="s">
        <v>107</v>
      </c>
      <c r="B8" s="21">
        <v>55</v>
      </c>
      <c r="C8" s="21">
        <v>33</v>
      </c>
      <c r="D8" s="21">
        <v>43</v>
      </c>
      <c r="E8" s="21">
        <v>42</v>
      </c>
      <c r="F8" s="21">
        <v>43</v>
      </c>
      <c r="G8" s="14">
        <v>47</v>
      </c>
      <c r="H8" s="14">
        <v>42</v>
      </c>
      <c r="I8" s="14">
        <v>40</v>
      </c>
      <c r="J8" s="14">
        <v>41</v>
      </c>
      <c r="K8" s="14">
        <v>45</v>
      </c>
      <c r="L8" s="14">
        <v>47</v>
      </c>
      <c r="M8" s="15">
        <v>54</v>
      </c>
      <c r="N8" s="16"/>
    </row>
    <row r="9" spans="1:14">
      <c r="A9" s="13" t="s">
        <v>108</v>
      </c>
      <c r="B9" s="21">
        <v>2306</v>
      </c>
      <c r="C9" s="21">
        <v>2173</v>
      </c>
      <c r="D9" s="21">
        <v>3210</v>
      </c>
      <c r="E9" s="21">
        <v>2470</v>
      </c>
      <c r="F9" s="21">
        <v>1468</v>
      </c>
      <c r="G9" s="14">
        <v>1399</v>
      </c>
      <c r="H9" s="14">
        <v>738</v>
      </c>
      <c r="I9" s="14">
        <v>704</v>
      </c>
      <c r="J9" s="14">
        <v>1269</v>
      </c>
      <c r="K9" s="14">
        <v>1397</v>
      </c>
      <c r="L9" s="14">
        <v>1258</v>
      </c>
      <c r="M9" s="15">
        <v>1846</v>
      </c>
      <c r="N9" s="16"/>
    </row>
    <row r="10" spans="1:14">
      <c r="A10" s="13" t="s">
        <v>109</v>
      </c>
      <c r="B10" s="21">
        <v>103</v>
      </c>
      <c r="C10" s="21">
        <v>79</v>
      </c>
      <c r="D10" s="21">
        <v>96</v>
      </c>
      <c r="E10" s="21">
        <v>84</v>
      </c>
      <c r="F10" s="21">
        <v>53</v>
      </c>
      <c r="G10" s="14">
        <v>52</v>
      </c>
      <c r="H10" s="14">
        <v>52</v>
      </c>
      <c r="I10" s="14">
        <v>54</v>
      </c>
      <c r="J10" s="14">
        <v>50</v>
      </c>
      <c r="K10" s="14">
        <v>66</v>
      </c>
      <c r="L10" s="14">
        <v>69</v>
      </c>
      <c r="M10" s="15">
        <v>103</v>
      </c>
      <c r="N10" s="16"/>
    </row>
    <row r="11" spans="1:14">
      <c r="A11" s="13" t="s">
        <v>110</v>
      </c>
      <c r="B11" s="21">
        <v>4</v>
      </c>
      <c r="C11" s="21">
        <v>2</v>
      </c>
      <c r="D11" s="21">
        <v>3</v>
      </c>
      <c r="E11" s="21">
        <v>102</v>
      </c>
      <c r="F11" s="21">
        <v>22</v>
      </c>
      <c r="G11" s="14">
        <v>36</v>
      </c>
      <c r="H11" s="14">
        <v>101</v>
      </c>
      <c r="I11" s="14">
        <v>81</v>
      </c>
      <c r="J11" s="14">
        <v>14</v>
      </c>
      <c r="K11" s="14">
        <v>14</v>
      </c>
      <c r="L11" s="14">
        <v>4</v>
      </c>
      <c r="M11" s="15">
        <v>3</v>
      </c>
      <c r="N11" s="16"/>
    </row>
    <row r="12" spans="1:14">
      <c r="A12" s="13" t="s">
        <v>111</v>
      </c>
      <c r="B12" s="21">
        <v>38</v>
      </c>
      <c r="C12" s="21">
        <v>43</v>
      </c>
      <c r="D12" s="21">
        <v>56</v>
      </c>
      <c r="E12" s="21">
        <v>48</v>
      </c>
      <c r="F12" s="21">
        <v>54</v>
      </c>
      <c r="G12" s="14">
        <v>29</v>
      </c>
      <c r="H12" s="14">
        <v>38</v>
      </c>
      <c r="I12" s="14">
        <v>29</v>
      </c>
      <c r="J12" s="14">
        <v>38</v>
      </c>
      <c r="K12" s="14">
        <v>42</v>
      </c>
      <c r="L12" s="14">
        <v>38</v>
      </c>
      <c r="M12" s="15">
        <v>35</v>
      </c>
      <c r="N12" s="16"/>
    </row>
    <row r="13" spans="1:14">
      <c r="A13" s="13" t="s">
        <v>112</v>
      </c>
      <c r="B13" s="21">
        <v>148</v>
      </c>
      <c r="C13" s="21">
        <v>149</v>
      </c>
      <c r="D13" s="21">
        <v>209</v>
      </c>
      <c r="E13" s="21">
        <v>198</v>
      </c>
      <c r="F13" s="21">
        <v>167</v>
      </c>
      <c r="G13" s="14">
        <v>132</v>
      </c>
      <c r="H13" s="14">
        <v>98</v>
      </c>
      <c r="I13" s="14">
        <v>102</v>
      </c>
      <c r="J13" s="14">
        <v>125</v>
      </c>
      <c r="K13" s="14">
        <v>144</v>
      </c>
      <c r="L13" s="14">
        <v>166</v>
      </c>
      <c r="M13" s="15">
        <v>124</v>
      </c>
      <c r="N13" s="16"/>
    </row>
    <row r="14" spans="1:14">
      <c r="A14" s="22" t="s">
        <v>113</v>
      </c>
      <c r="B14" s="23">
        <v>521</v>
      </c>
      <c r="C14" s="23">
        <v>420</v>
      </c>
      <c r="D14" s="23">
        <v>430</v>
      </c>
      <c r="E14" s="23">
        <v>428</v>
      </c>
      <c r="F14" s="23">
        <v>313</v>
      </c>
      <c r="G14" s="24">
        <v>327</v>
      </c>
      <c r="H14" s="24">
        <v>247</v>
      </c>
      <c r="I14" s="24">
        <v>221</v>
      </c>
      <c r="J14" s="24">
        <v>306</v>
      </c>
      <c r="K14" s="24">
        <v>345</v>
      </c>
      <c r="L14" s="24">
        <v>344</v>
      </c>
      <c r="M14" s="25">
        <v>455</v>
      </c>
      <c r="N14" s="16"/>
    </row>
    <row r="15" spans="1:14">
      <c r="B15" s="26"/>
      <c r="D15" s="2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7"/>
  <sheetViews>
    <sheetView zoomScale="120" zoomScaleNormal="120" workbookViewId="0">
      <selection activeCell="D10" sqref="D10"/>
    </sheetView>
  </sheetViews>
  <sheetFormatPr defaultRowHeight="16.5"/>
  <cols>
    <col min="1" max="1" width="15.625" customWidth="1"/>
    <col min="2" max="6" width="11.625" customWidth="1"/>
  </cols>
  <sheetData>
    <row r="1" spans="1:6" ht="30" customHeight="1">
      <c r="A1" s="42" t="s">
        <v>119</v>
      </c>
      <c r="B1" s="11"/>
      <c r="C1" s="11"/>
      <c r="D1" s="11"/>
      <c r="E1" s="11"/>
      <c r="F1" s="11"/>
    </row>
    <row r="2" spans="1:6">
      <c r="A2" s="11"/>
      <c r="B2" s="11"/>
      <c r="C2" s="11"/>
      <c r="D2" s="11"/>
      <c r="E2" s="11"/>
      <c r="F2" s="11"/>
    </row>
    <row r="3" spans="1:6">
      <c r="A3" s="41" t="s">
        <v>114</v>
      </c>
      <c r="B3" s="44" t="s">
        <v>150</v>
      </c>
      <c r="C3" s="44" t="s">
        <v>151</v>
      </c>
      <c r="D3" s="44" t="s">
        <v>152</v>
      </c>
      <c r="E3" s="44" t="s">
        <v>153</v>
      </c>
      <c r="F3" s="44" t="s">
        <v>154</v>
      </c>
    </row>
    <row r="4" spans="1:6">
      <c r="A4" s="12" t="s">
        <v>115</v>
      </c>
      <c r="B4" s="17">
        <v>45010</v>
      </c>
      <c r="C4" s="17">
        <v>43023</v>
      </c>
      <c r="D4" s="17">
        <v>43848</v>
      </c>
      <c r="E4" s="17">
        <v>43454</v>
      </c>
      <c r="F4" s="17">
        <v>43755</v>
      </c>
    </row>
    <row r="5" spans="1:6">
      <c r="A5" s="12" t="s">
        <v>116</v>
      </c>
      <c r="B5" s="17">
        <v>6158</v>
      </c>
      <c r="C5" s="17">
        <v>6268</v>
      </c>
      <c r="D5" s="17">
        <v>6400</v>
      </c>
      <c r="E5" s="17">
        <v>6664</v>
      </c>
      <c r="F5" s="17">
        <v>6702</v>
      </c>
    </row>
    <row r="6" spans="1:6">
      <c r="A6" s="12" t="s">
        <v>117</v>
      </c>
      <c r="B6" s="17">
        <v>28628</v>
      </c>
      <c r="C6" s="17">
        <v>40404</v>
      </c>
      <c r="D6" s="17">
        <v>43044</v>
      </c>
      <c r="E6" s="17">
        <v>50824</v>
      </c>
      <c r="F6" s="17">
        <v>52981</v>
      </c>
    </row>
    <row r="7" spans="1:6">
      <c r="A7" s="12" t="s">
        <v>118</v>
      </c>
      <c r="B7" s="17">
        <v>28395</v>
      </c>
      <c r="C7" s="17">
        <v>28484</v>
      </c>
      <c r="D7" s="17">
        <v>27048</v>
      </c>
      <c r="E7" s="17">
        <v>26714</v>
      </c>
      <c r="F7" s="17">
        <v>26383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김영욱</dc:creator>
  <cp:lastModifiedBy>821023749974</cp:lastModifiedBy>
  <dcterms:created xsi:type="dcterms:W3CDTF">2016-04-06T08:26:19Z</dcterms:created>
  <dcterms:modified xsi:type="dcterms:W3CDTF">2024-04-03T02:14:32Z</dcterms:modified>
</cp:coreProperties>
</file>