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ster\Desktop\최현주\"/>
    </mc:Choice>
  </mc:AlternateContent>
  <xr:revisionPtr revIDLastSave="0" documentId="13_ncr:1_{98B06D8B-0ED3-4E93-9CDD-0A2DB9D2CAB0}" xr6:coauthVersionLast="47" xr6:coauthVersionMax="47" xr10:uidLastSave="{00000000-0000-0000-0000-000000000000}"/>
  <bookViews>
    <workbookView xWindow="-120" yWindow="-120" windowWidth="29040" windowHeight="15840" xr2:uid="{64E0D0E5-53DA-4226-826C-F6118811EBA1}"/>
  </bookViews>
  <sheets>
    <sheet name="제1작업" sheetId="1" r:id="rId1"/>
    <sheet name="제2작업" sheetId="4" r:id="rId2"/>
    <sheet name="결재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J14" i="1"/>
  <c r="J13" i="1"/>
  <c r="I6" i="1" l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<sst xmlns="http://schemas.openxmlformats.org/spreadsheetml/2006/main" count="50" uniqueCount="39">
  <si>
    <t>관리코드</t>
    <phoneticPr fontId="1" type="noConversion"/>
  </si>
  <si>
    <t>C8641</t>
    <phoneticPr fontId="1" type="noConversion"/>
  </si>
  <si>
    <t>V8639</t>
    <phoneticPr fontId="1" type="noConversion"/>
  </si>
  <si>
    <t>K4498</t>
    <phoneticPr fontId="1" type="noConversion"/>
  </si>
  <si>
    <t>C8664</t>
    <phoneticPr fontId="1" type="noConversion"/>
  </si>
  <si>
    <t>U0114</t>
    <phoneticPr fontId="1" type="noConversion"/>
  </si>
  <si>
    <t>J4491</t>
    <phoneticPr fontId="1" type="noConversion"/>
  </si>
  <si>
    <t>U0103</t>
    <phoneticPr fontId="1" type="noConversion"/>
  </si>
  <si>
    <t>주요 관리 품종 개수</t>
    <phoneticPr fontId="1" type="noConversion"/>
  </si>
  <si>
    <t>포유류 수입 두수 합계</t>
    <phoneticPr fontId="1" type="noConversion"/>
  </si>
  <si>
    <t>품명</t>
    <phoneticPr fontId="1" type="noConversion"/>
  </si>
  <si>
    <t>개</t>
    <phoneticPr fontId="1" type="noConversion"/>
  </si>
  <si>
    <t>기니아피그</t>
    <phoneticPr fontId="1" type="noConversion"/>
  </si>
  <si>
    <t>앵무새</t>
    <phoneticPr fontId="1" type="noConversion"/>
  </si>
  <si>
    <t>고양이</t>
    <phoneticPr fontId="1" type="noConversion"/>
  </si>
  <si>
    <t>원숭이</t>
    <phoneticPr fontId="1" type="noConversion"/>
  </si>
  <si>
    <t>프레리독</t>
    <phoneticPr fontId="1" type="noConversion"/>
  </si>
  <si>
    <t>조류기타</t>
    <phoneticPr fontId="1" type="noConversion"/>
  </si>
  <si>
    <t>렛트</t>
    <phoneticPr fontId="1" type="noConversion"/>
  </si>
  <si>
    <t>품목</t>
    <phoneticPr fontId="1" type="noConversion"/>
  </si>
  <si>
    <t>포유류</t>
    <phoneticPr fontId="1" type="noConversion"/>
  </si>
  <si>
    <t>기타동물</t>
    <phoneticPr fontId="1" type="noConversion"/>
  </si>
  <si>
    <t>조류</t>
    <phoneticPr fontId="1" type="noConversion"/>
  </si>
  <si>
    <t>두수(마리/군)</t>
    <phoneticPr fontId="1" type="noConversion"/>
  </si>
  <si>
    <t>수입국가</t>
    <phoneticPr fontId="1" type="noConversion"/>
  </si>
  <si>
    <t>미국</t>
    <phoneticPr fontId="1" type="noConversion"/>
  </si>
  <si>
    <t>일본</t>
    <phoneticPr fontId="1" type="noConversion"/>
  </si>
  <si>
    <t>스페인</t>
    <phoneticPr fontId="1" type="noConversion"/>
  </si>
  <si>
    <t>중국</t>
    <phoneticPr fontId="1" type="noConversion"/>
  </si>
  <si>
    <t>최근
검사월</t>
    <phoneticPr fontId="1" type="noConversion"/>
  </si>
  <si>
    <t>2차 검사일</t>
    <phoneticPr fontId="1" type="noConversion"/>
  </si>
  <si>
    <t>비고</t>
    <phoneticPr fontId="1" type="noConversion"/>
  </si>
  <si>
    <t>최고 전년대비 증감률</t>
    <phoneticPr fontId="1" type="noConversion"/>
  </si>
  <si>
    <t>U0178</t>
    <phoneticPr fontId="1" type="noConversion"/>
  </si>
  <si>
    <t>전년대비 증감률</t>
    <phoneticPr fontId="1" type="noConversion"/>
  </si>
  <si>
    <t>결재</t>
    <phoneticPr fontId="1" type="noConversion"/>
  </si>
  <si>
    <t>담당</t>
    <phoneticPr fontId="1" type="noConversion"/>
  </si>
  <si>
    <t>팀장</t>
    <phoneticPr fontId="1" type="noConversion"/>
  </si>
  <si>
    <t>원장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</si>
</sst>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</cellXfs>
  <cellStyles count="1">
    <cellStyle name="표준" xfId="0" builtinId="0"/>
  </cellStyles>
  <dxfs count="1"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제1작업!$C$5:$C$12</c:f>
              <c:strCache>
                <c:ptCount val="8"/>
                <c:pt idx="0">
                  <c:v>개</c:v>
                </c:pt>
                <c:pt idx="1">
                  <c:v>기니아피그</c:v>
                </c:pt>
                <c:pt idx="2">
                  <c:v>앵무새</c:v>
                </c:pt>
                <c:pt idx="3">
                  <c:v>고양이</c:v>
                </c:pt>
                <c:pt idx="4">
                  <c:v>원숭이</c:v>
                </c:pt>
                <c:pt idx="5">
                  <c:v>프레리독</c:v>
                </c:pt>
                <c:pt idx="6">
                  <c:v>조류기타</c:v>
                </c:pt>
                <c:pt idx="7">
                  <c:v>렛트</c:v>
                </c:pt>
              </c:strCache>
            </c:strRef>
          </c:cat>
          <c:val>
            <c:numRef>
              <c:f>제1작업!$E$5:$E$12</c:f>
              <c:numCache>
                <c:formatCode>0%</c:formatCode>
                <c:ptCount val="8"/>
                <c:pt idx="0">
                  <c:v>0</c:v>
                </c:pt>
                <c:pt idx="1">
                  <c:v>-0.55000000000000004</c:v>
                </c:pt>
                <c:pt idx="2">
                  <c:v>-0.41</c:v>
                </c:pt>
                <c:pt idx="3">
                  <c:v>0.15</c:v>
                </c:pt>
                <c:pt idx="4">
                  <c:v>-0.27</c:v>
                </c:pt>
                <c:pt idx="5">
                  <c:v>0.02</c:v>
                </c:pt>
                <c:pt idx="6">
                  <c:v>1.95</c:v>
                </c:pt>
                <c:pt idx="7">
                  <c:v>-0.53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F-4973-AD6D-429A56CBB7C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제1작업!$C$5:$C$12</c:f>
              <c:strCache>
                <c:ptCount val="8"/>
                <c:pt idx="0">
                  <c:v>개</c:v>
                </c:pt>
                <c:pt idx="1">
                  <c:v>기니아피그</c:v>
                </c:pt>
                <c:pt idx="2">
                  <c:v>앵무새</c:v>
                </c:pt>
                <c:pt idx="3">
                  <c:v>고양이</c:v>
                </c:pt>
                <c:pt idx="4">
                  <c:v>원숭이</c:v>
                </c:pt>
                <c:pt idx="5">
                  <c:v>프레리독</c:v>
                </c:pt>
                <c:pt idx="6">
                  <c:v>조류기타</c:v>
                </c:pt>
                <c:pt idx="7">
                  <c:v>렛트</c:v>
                </c:pt>
              </c:strCache>
            </c:strRef>
          </c:cat>
          <c:val>
            <c:numRef>
              <c:f>제1작업!$F$5:$F$12</c:f>
              <c:numCache>
                <c:formatCode>#,##0</c:formatCode>
                <c:ptCount val="8"/>
                <c:pt idx="0">
                  <c:v>1804</c:v>
                </c:pt>
                <c:pt idx="1">
                  <c:v>1178</c:v>
                </c:pt>
                <c:pt idx="2" formatCode="General">
                  <c:v>195</c:v>
                </c:pt>
                <c:pt idx="3" formatCode="General">
                  <c:v>157</c:v>
                </c:pt>
                <c:pt idx="4" formatCode="General">
                  <c:v>30</c:v>
                </c:pt>
                <c:pt idx="5" formatCode="General">
                  <c:v>338</c:v>
                </c:pt>
                <c:pt idx="6" formatCode="General">
                  <c:v>425</c:v>
                </c:pt>
                <c:pt idx="7" formatCode="General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F-4973-AD6D-429A56CB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801312"/>
        <c:axId val="1430801792"/>
      </c:barChart>
      <c:catAx>
        <c:axId val="14308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0801792"/>
        <c:crosses val="autoZero"/>
        <c:auto val="1"/>
        <c:lblAlgn val="ctr"/>
        <c:lblOffset val="100"/>
        <c:noMultiLvlLbl val="0"/>
      </c:catAx>
      <c:valAx>
        <c:axId val="143080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08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5954</xdr:colOff>
      <xdr:row>0</xdr:row>
      <xdr:rowOff>53578</xdr:rowOff>
    </xdr:from>
    <xdr:to>
      <xdr:col>7</xdr:col>
      <xdr:colOff>547687</xdr:colOff>
      <xdr:row>2</xdr:row>
      <xdr:rowOff>321468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6E9493D-9178-344E-F4B1-1705FF03D874}"/>
            </a:ext>
          </a:extLst>
        </xdr:cNvPr>
        <xdr:cNvSpPr/>
      </xdr:nvSpPr>
      <xdr:spPr>
        <a:xfrm>
          <a:off x="214313" y="53578"/>
          <a:ext cx="5268515" cy="68460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수입동물 국가 </a:t>
          </a:r>
          <a:r>
            <a:rPr lang="en-US" altLang="ko-KR" sz="2400" b="1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- </a:t>
          </a:r>
          <a:r>
            <a:rPr lang="ko-KR" altLang="en-US" sz="2400" b="1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품명별 수입현황</a:t>
          </a:r>
        </a:p>
        <a:p>
          <a:pPr algn="ctr"/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ko-KR" altLang="en-US" sz="2400"/>
            <a:t> 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결재</a:t>
          </a:r>
          <a:r>
            <a:rPr lang="ko-KR" altLang="en-US" sz="2400"/>
            <a:t> 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담당</a:t>
          </a:r>
          <a:r>
            <a:rPr lang="ko-KR" altLang="en-US" sz="2400"/>
            <a:t> 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팀장</a:t>
          </a:r>
          <a:r>
            <a:rPr lang="ko-KR" altLang="en-US" sz="2400"/>
            <a:t> 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원장</a:t>
          </a:r>
          <a:r>
            <a:rPr lang="ko-KR" altLang="en-US" sz="2400"/>
            <a:t> 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ko-KR" altLang="en-US" sz="2400"/>
            <a:t> 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ko-KR" altLang="en-US" sz="2400"/>
            <a:t> 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ko-KR" altLang="en-US" sz="2400"/>
            <a:t> </a:t>
          </a:r>
          <a:r>
            <a:rPr lang="ko-KR" altLang="en-US" sz="2400" b="1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물 국가 </a:t>
          </a:r>
          <a:r>
            <a:rPr lang="en-US" altLang="ko-KR" sz="2400" b="1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- </a:t>
          </a:r>
          <a:r>
            <a:rPr lang="ko-KR" altLang="en-US" sz="2400" b="1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품명별 수입현황</a:t>
          </a:r>
        </a:p>
      </xdr:txBody>
    </xdr:sp>
    <xdr:clientData/>
  </xdr:twoCellAnchor>
  <xdr:twoCellAnchor editAs="oneCell">
    <xdr:from>
      <xdr:col>7</xdr:col>
      <xdr:colOff>595312</xdr:colOff>
      <xdr:row>0</xdr:row>
      <xdr:rowOff>77390</xdr:rowOff>
    </xdr:from>
    <xdr:to>
      <xdr:col>10</xdr:col>
      <xdr:colOff>40481</xdr:colOff>
      <xdr:row>2</xdr:row>
      <xdr:rowOff>309562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54136C-C325-4727-160F-CCD56A95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0453" y="77390"/>
          <a:ext cx="2076450" cy="648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714375</xdr:colOff>
      <xdr:row>3</xdr:row>
      <xdr:rowOff>155376</xdr:rowOff>
    </xdr:from>
    <xdr:to>
      <xdr:col>11</xdr:col>
      <xdr:colOff>398860</xdr:colOff>
      <xdr:row>16</xdr:row>
      <xdr:rowOff>52982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2C2B226-A92E-00FF-A2F5-5CB9A5E3C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A11E-E0AE-453B-9EDD-B6F096843AF8}">
  <sheetPr codeName="Sheet2"/>
  <dimension ref="B3:J18"/>
  <sheetViews>
    <sheetView showGridLines="0" tabSelected="1" zoomScale="160" zoomScaleNormal="160" workbookViewId="0">
      <selection activeCell="L9" sqref="L9"/>
    </sheetView>
  </sheetViews>
  <sheetFormatPr defaultRowHeight="16.5" x14ac:dyDescent="0.3"/>
  <cols>
    <col min="1" max="1" width="2.75" customWidth="1"/>
    <col min="3" max="3" width="12.25" customWidth="1"/>
    <col min="4" max="4" width="10.75" customWidth="1"/>
    <col min="5" max="5" width="9.375" customWidth="1"/>
    <col min="6" max="6" width="11.625" customWidth="1"/>
    <col min="8" max="8" width="13.25" customWidth="1"/>
    <col min="9" max="9" width="12.25" customWidth="1"/>
    <col min="12" max="12" width="13" customWidth="1"/>
    <col min="13" max="13" width="4" customWidth="1"/>
  </cols>
  <sheetData>
    <row r="3" spans="2:10" ht="27.6" customHeight="1" x14ac:dyDescent="0.3"/>
    <row r="4" spans="2:10" ht="27" x14ac:dyDescent="0.3">
      <c r="B4" s="1" t="s">
        <v>0</v>
      </c>
      <c r="C4" s="1" t="s">
        <v>10</v>
      </c>
      <c r="D4" s="1" t="s">
        <v>19</v>
      </c>
      <c r="E4" s="8" t="s">
        <v>34</v>
      </c>
      <c r="F4" s="1" t="s">
        <v>23</v>
      </c>
      <c r="G4" s="1" t="s">
        <v>24</v>
      </c>
      <c r="H4" s="2" t="s">
        <v>29</v>
      </c>
      <c r="I4" s="1" t="s">
        <v>30</v>
      </c>
      <c r="J4" s="1" t="s">
        <v>31</v>
      </c>
    </row>
    <row r="5" spans="2:10" x14ac:dyDescent="0.3">
      <c r="B5" s="4" t="s">
        <v>1</v>
      </c>
      <c r="C5" s="4" t="s">
        <v>11</v>
      </c>
      <c r="D5" s="4" t="s">
        <v>20</v>
      </c>
      <c r="E5" s="5">
        <v>0</v>
      </c>
      <c r="F5" s="6">
        <v>1804</v>
      </c>
      <c r="G5" s="4" t="s">
        <v>25</v>
      </c>
      <c r="H5" s="9">
        <v>45558</v>
      </c>
      <c r="I5" s="9">
        <f>H5+30</f>
        <v>45588</v>
      </c>
      <c r="J5" s="3"/>
    </row>
    <row r="6" spans="2:10" x14ac:dyDescent="0.3">
      <c r="B6" s="4" t="s">
        <v>2</v>
      </c>
      <c r="C6" s="4" t="s">
        <v>12</v>
      </c>
      <c r="D6" s="4" t="s">
        <v>21</v>
      </c>
      <c r="E6" s="5">
        <v>-0.55000000000000004</v>
      </c>
      <c r="F6" s="6">
        <v>1178</v>
      </c>
      <c r="G6" s="4" t="s">
        <v>26</v>
      </c>
      <c r="H6" s="9">
        <v>45559</v>
      </c>
      <c r="I6" s="9">
        <f t="shared" ref="I6:I12" si="0">H6+30</f>
        <v>45589</v>
      </c>
      <c r="J6" s="3"/>
    </row>
    <row r="7" spans="2:10" x14ac:dyDescent="0.3">
      <c r="B7" s="4" t="s">
        <v>3</v>
      </c>
      <c r="C7" s="4" t="s">
        <v>13</v>
      </c>
      <c r="D7" s="4" t="s">
        <v>22</v>
      </c>
      <c r="E7" s="5">
        <v>-0.41</v>
      </c>
      <c r="F7" s="3">
        <v>195</v>
      </c>
      <c r="G7" s="4" t="s">
        <v>27</v>
      </c>
      <c r="H7" s="9">
        <v>45560</v>
      </c>
      <c r="I7" s="9">
        <f t="shared" si="0"/>
        <v>45590</v>
      </c>
      <c r="J7" s="3"/>
    </row>
    <row r="8" spans="2:10" x14ac:dyDescent="0.3">
      <c r="B8" s="4" t="s">
        <v>4</v>
      </c>
      <c r="C8" s="4" t="s">
        <v>14</v>
      </c>
      <c r="D8" s="4" t="s">
        <v>20</v>
      </c>
      <c r="E8" s="5">
        <v>0.15</v>
      </c>
      <c r="F8" s="3">
        <v>157</v>
      </c>
      <c r="G8" s="4" t="s">
        <v>26</v>
      </c>
      <c r="H8" s="9">
        <v>45561</v>
      </c>
      <c r="I8" s="9">
        <f t="shared" si="0"/>
        <v>45591</v>
      </c>
      <c r="J8" s="3"/>
    </row>
    <row r="9" spans="2:10" x14ac:dyDescent="0.3">
      <c r="B9" s="4" t="s">
        <v>33</v>
      </c>
      <c r="C9" s="4" t="s">
        <v>15</v>
      </c>
      <c r="D9" s="4" t="s">
        <v>20</v>
      </c>
      <c r="E9" s="5">
        <v>-0.27</v>
      </c>
      <c r="F9" s="3">
        <v>30</v>
      </c>
      <c r="G9" s="4" t="s">
        <v>28</v>
      </c>
      <c r="H9" s="9">
        <v>45562</v>
      </c>
      <c r="I9" s="9">
        <f t="shared" si="0"/>
        <v>45592</v>
      </c>
      <c r="J9" s="3"/>
    </row>
    <row r="10" spans="2:10" x14ac:dyDescent="0.3">
      <c r="B10" s="4" t="s">
        <v>5</v>
      </c>
      <c r="C10" s="4" t="s">
        <v>16</v>
      </c>
      <c r="D10" s="4" t="s">
        <v>21</v>
      </c>
      <c r="E10" s="5">
        <v>0.02</v>
      </c>
      <c r="F10" s="3">
        <v>338</v>
      </c>
      <c r="G10" s="4" t="s">
        <v>25</v>
      </c>
      <c r="H10" s="9">
        <v>45565</v>
      </c>
      <c r="I10" s="9">
        <f t="shared" si="0"/>
        <v>45595</v>
      </c>
      <c r="J10" s="3"/>
    </row>
    <row r="11" spans="2:10" x14ac:dyDescent="0.3">
      <c r="B11" s="4" t="s">
        <v>6</v>
      </c>
      <c r="C11" s="4" t="s">
        <v>17</v>
      </c>
      <c r="D11" s="4" t="s">
        <v>22</v>
      </c>
      <c r="E11" s="5">
        <v>1.95</v>
      </c>
      <c r="F11" s="3">
        <v>425</v>
      </c>
      <c r="G11" s="4" t="s">
        <v>27</v>
      </c>
      <c r="H11" s="9">
        <v>45566</v>
      </c>
      <c r="I11" s="9">
        <f t="shared" si="0"/>
        <v>45596</v>
      </c>
      <c r="J11" s="3"/>
    </row>
    <row r="12" spans="2:10" x14ac:dyDescent="0.3">
      <c r="B12" s="4" t="s">
        <v>7</v>
      </c>
      <c r="C12" s="4" t="s">
        <v>18</v>
      </c>
      <c r="D12" s="4" t="s">
        <v>21</v>
      </c>
      <c r="E12" s="5">
        <v>-0.53</v>
      </c>
      <c r="F12" s="3">
        <v>326</v>
      </c>
      <c r="G12" s="4" t="s">
        <v>25</v>
      </c>
      <c r="H12" s="9">
        <v>45567</v>
      </c>
      <c r="I12" s="9">
        <f t="shared" si="0"/>
        <v>45597</v>
      </c>
      <c r="J12" s="3"/>
    </row>
    <row r="13" spans="2:10" x14ac:dyDescent="0.3">
      <c r="B13" s="10" t="s">
        <v>8</v>
      </c>
      <c r="C13" s="10"/>
      <c r="D13" s="10"/>
      <c r="E13" s="4" t="str">
        <f>COUNTIF(B5:B12,"C")&amp;"개"</f>
        <v>0개</v>
      </c>
      <c r="F13" s="11"/>
      <c r="G13" s="10" t="s">
        <v>32</v>
      </c>
      <c r="H13" s="10"/>
      <c r="I13" s="10"/>
      <c r="J13" s="5">
        <f>MAX(E5:E12)</f>
        <v>1.95</v>
      </c>
    </row>
    <row r="14" spans="2:10" x14ac:dyDescent="0.3">
      <c r="B14" s="10" t="s">
        <v>9</v>
      </c>
      <c r="C14" s="10"/>
      <c r="D14" s="10"/>
      <c r="E14" s="4" t="str">
        <f>SUMIF(D5:D12,D5,F5:F12)&amp;"마리"</f>
        <v>1991마리</v>
      </c>
      <c r="F14" s="11"/>
      <c r="G14" s="1" t="s">
        <v>10</v>
      </c>
      <c r="H14" s="4"/>
      <c r="I14" s="1" t="s">
        <v>23</v>
      </c>
      <c r="J14" s="4" t="str">
        <f>IFERROR(INDEX(C5:F12,MATCH(H14,C5:C12,0),4),"")</f>
        <v/>
      </c>
    </row>
    <row r="18" ht="37.15" customHeight="1" x14ac:dyDescent="0.3"/>
  </sheetData>
  <mergeCells count="4">
    <mergeCell ref="G13:I13"/>
    <mergeCell ref="B13:D13"/>
    <mergeCell ref="B14:D14"/>
    <mergeCell ref="F13:F14"/>
  </mergeCells>
  <phoneticPr fontId="1" type="noConversion"/>
  <conditionalFormatting sqref="B5:I12">
    <cfRule type="expression" dxfId="0" priority="1">
      <formula>$F5&gt;=400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8430-21D8-433F-9667-3B7CD9A6C5D7}">
  <dimension ref="A1"/>
  <sheetViews>
    <sheetView workbookViewId="0">
      <selection activeCell="D17" sqref="D17"/>
    </sheetView>
  </sheetViews>
  <sheetFormatPr defaultRowHeight="16.5" x14ac:dyDescent="0.3"/>
  <cols>
    <col min="1" max="1" width="1.625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72EE-7F57-4624-BC2D-63BB47DDF10B}">
  <sheetPr codeName="Sheet3"/>
  <dimension ref="A1:D2"/>
  <sheetViews>
    <sheetView zoomScale="205" zoomScaleNormal="205" workbookViewId="0">
      <selection activeCell="C12" sqref="C12"/>
    </sheetView>
  </sheetViews>
  <sheetFormatPr defaultRowHeight="16.5" x14ac:dyDescent="0.3"/>
  <cols>
    <col min="1" max="1" width="3.875" customWidth="1"/>
    <col min="2" max="4" width="7.75" customWidth="1"/>
  </cols>
  <sheetData>
    <row r="1" spans="1:4" x14ac:dyDescent="0.3">
      <c r="A1" s="12" t="s">
        <v>35</v>
      </c>
      <c r="B1" s="7" t="s">
        <v>36</v>
      </c>
      <c r="C1" s="7" t="s">
        <v>37</v>
      </c>
      <c r="D1" s="7" t="s">
        <v>38</v>
      </c>
    </row>
    <row r="2" spans="1:4" ht="34.15" customHeight="1" x14ac:dyDescent="0.3">
      <c r="A2" s="12"/>
      <c r="B2" s="7"/>
      <c r="C2" s="7"/>
      <c r="D2" s="7"/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제1작업</vt:lpstr>
      <vt:lpstr>제2작업</vt:lpstr>
      <vt:lpstr>결재란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2025-08-29T03:17:36Z</dcterms:created>
  <dcterms:modified xsi:type="dcterms:W3CDTF">2025-10-18T08:54:20Z</dcterms:modified>
</cp:coreProperties>
</file>